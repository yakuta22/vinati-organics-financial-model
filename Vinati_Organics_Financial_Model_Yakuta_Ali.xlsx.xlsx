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YAKUTA\Downloads\"/>
    </mc:Choice>
  </mc:AlternateContent>
  <xr:revisionPtr revIDLastSave="0" documentId="8_{DB5D0A9F-8CF9-4CBC-B9FA-229DCC088159}" xr6:coauthVersionLast="47" xr6:coauthVersionMax="47" xr10:uidLastSave="{00000000-0000-0000-0000-000000000000}"/>
  <bookViews>
    <workbookView xWindow="-108" yWindow="-108" windowWidth="23256" windowHeight="13896" activeTab="6" xr2:uid="{86E1E3CA-5B1D-49F4-95CA-37038319B8DF}"/>
  </bookViews>
  <sheets>
    <sheet name="Cover" sheetId="1" r:id="rId1"/>
    <sheet name="Raw Data" sheetId="2" r:id="rId2"/>
    <sheet name="Assumption " sheetId="3" r:id="rId3"/>
    <sheet name="P&amp;L" sheetId="4" r:id="rId4"/>
    <sheet name="Balance sheet" sheetId="5" r:id="rId5"/>
    <sheet name="cash flow" sheetId="6" r:id="rId6"/>
    <sheet name="DCF"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9" i="7" l="1"/>
  <c r="B41" i="7"/>
  <c r="B37" i="7"/>
  <c r="B36" i="7"/>
  <c r="B35" i="7"/>
  <c r="B34" i="7"/>
  <c r="B33" i="7"/>
  <c r="B32" i="7"/>
  <c r="B31" i="7"/>
  <c r="C27" i="7"/>
  <c r="D27" i="7"/>
  <c r="B27" i="7"/>
  <c r="C26" i="7"/>
  <c r="D26" i="7"/>
  <c r="B26" i="7"/>
  <c r="C24" i="7"/>
  <c r="D24" i="7"/>
  <c r="B24" i="7"/>
  <c r="C23" i="7"/>
  <c r="D23" i="7"/>
  <c r="B23" i="7"/>
  <c r="C22" i="7"/>
  <c r="D22" i="7"/>
  <c r="B22" i="7"/>
  <c r="C21" i="7"/>
  <c r="D21" i="7"/>
  <c r="B21" i="7"/>
  <c r="C20" i="7"/>
  <c r="D20" i="7"/>
  <c r="B20" i="7"/>
  <c r="D19" i="7"/>
  <c r="C19" i="7"/>
  <c r="B19" i="7"/>
  <c r="C18" i="7"/>
  <c r="D18" i="7"/>
  <c r="B18" i="7"/>
  <c r="B14" i="7"/>
  <c r="B11" i="7"/>
  <c r="B8" i="7"/>
  <c r="I28" i="4"/>
  <c r="J28" i="4"/>
  <c r="H28" i="4"/>
  <c r="E41" i="6"/>
  <c r="C18" i="6"/>
  <c r="D18" i="6"/>
  <c r="F38" i="6"/>
  <c r="G38" i="6"/>
  <c r="E38" i="6"/>
  <c r="F32" i="6"/>
  <c r="G32" i="6"/>
  <c r="E32" i="6"/>
  <c r="F16" i="6"/>
  <c r="G16" i="6"/>
  <c r="E16" i="6"/>
  <c r="F37" i="6"/>
  <c r="G37" i="6"/>
  <c r="E37" i="6"/>
  <c r="F35" i="6"/>
  <c r="G35" i="6"/>
  <c r="E35" i="6"/>
  <c r="F25" i="6"/>
  <c r="G25" i="6"/>
  <c r="E25" i="6"/>
  <c r="F36" i="6"/>
  <c r="G36" i="6"/>
  <c r="E36" i="6"/>
  <c r="F21" i="6"/>
  <c r="G21" i="6"/>
  <c r="E21" i="6"/>
  <c r="F15" i="6"/>
  <c r="G15" i="6"/>
  <c r="E15" i="6"/>
  <c r="F12" i="6"/>
  <c r="G12" i="6"/>
  <c r="E12" i="6"/>
  <c r="F13" i="6"/>
  <c r="G13" i="6"/>
  <c r="E13" i="6"/>
  <c r="F9" i="6"/>
  <c r="G9" i="6"/>
  <c r="F7" i="6"/>
  <c r="G7" i="6"/>
  <c r="F6" i="6"/>
  <c r="G6" i="6"/>
  <c r="F5" i="6"/>
  <c r="G5" i="6"/>
  <c r="E9" i="6"/>
  <c r="E7" i="6"/>
  <c r="E6" i="6"/>
  <c r="E5" i="6"/>
  <c r="H13" i="5"/>
  <c r="I13" i="5"/>
  <c r="J13" i="5"/>
  <c r="H49" i="5"/>
  <c r="H52" i="5" s="1"/>
  <c r="I49" i="5"/>
  <c r="I52" i="5" s="1"/>
  <c r="J49" i="5"/>
  <c r="J52" i="5" s="1"/>
  <c r="H40" i="5"/>
  <c r="I40" i="5"/>
  <c r="J40" i="5"/>
  <c r="H33" i="5"/>
  <c r="I33" i="5"/>
  <c r="J33" i="5"/>
  <c r="I32" i="5"/>
  <c r="J32" i="5"/>
  <c r="H32" i="5"/>
  <c r="I46" i="5"/>
  <c r="J46" i="5"/>
  <c r="H46" i="5"/>
  <c r="I16" i="5"/>
  <c r="J16" i="5"/>
  <c r="H16" i="5"/>
  <c r="I18" i="5"/>
  <c r="J18" i="5"/>
  <c r="H18" i="5"/>
  <c r="I7" i="5"/>
  <c r="J7" i="5"/>
  <c r="H7" i="5"/>
  <c r="G49" i="5"/>
  <c r="G52" i="5" s="1"/>
  <c r="G40" i="5"/>
  <c r="G33" i="5"/>
  <c r="G25" i="5"/>
  <c r="G27" i="5" s="1"/>
  <c r="G13" i="5"/>
  <c r="I27" i="4"/>
  <c r="J27" i="4"/>
  <c r="H27" i="4"/>
  <c r="I26" i="4"/>
  <c r="J26" i="4"/>
  <c r="H26" i="4"/>
  <c r="I25" i="4"/>
  <c r="J25" i="4"/>
  <c r="H25" i="4"/>
  <c r="I22" i="4"/>
  <c r="J22" i="4"/>
  <c r="H22" i="4"/>
  <c r="I21" i="4"/>
  <c r="J21" i="4"/>
  <c r="I20" i="4"/>
  <c r="J20" i="4"/>
  <c r="H21" i="4"/>
  <c r="H20" i="4"/>
  <c r="I18" i="4"/>
  <c r="J18" i="4"/>
  <c r="H18" i="4"/>
  <c r="I17" i="4"/>
  <c r="J17" i="4"/>
  <c r="H17" i="4"/>
  <c r="I16" i="4"/>
  <c r="J16" i="4"/>
  <c r="H16" i="4"/>
  <c r="I15" i="4"/>
  <c r="J15" i="4"/>
  <c r="H15" i="4"/>
  <c r="I14" i="4"/>
  <c r="J14" i="4"/>
  <c r="H14" i="4"/>
  <c r="I11" i="4"/>
  <c r="J11" i="4"/>
  <c r="H11" i="4"/>
  <c r="I8" i="4"/>
  <c r="J8" i="4"/>
  <c r="I7" i="4"/>
  <c r="J7" i="4"/>
  <c r="H8" i="4"/>
  <c r="H7" i="4"/>
  <c r="I6" i="4"/>
  <c r="J6" i="4"/>
  <c r="I5" i="4"/>
  <c r="J5" i="4"/>
  <c r="H6" i="4"/>
  <c r="H5" i="4"/>
  <c r="G28" i="4"/>
  <c r="G27" i="4"/>
  <c r="G26" i="4"/>
  <c r="G25" i="4"/>
  <c r="G22" i="4"/>
  <c r="G20" i="4"/>
  <c r="G8" i="4"/>
  <c r="G21" i="4"/>
  <c r="G18" i="4"/>
  <c r="G17" i="4"/>
  <c r="G16" i="4"/>
  <c r="G15" i="4"/>
  <c r="G12" i="4"/>
  <c r="G13" i="4"/>
  <c r="G14" i="4"/>
  <c r="G11" i="4"/>
  <c r="G7" i="4"/>
  <c r="G5" i="4"/>
  <c r="G26" i="2"/>
  <c r="G24" i="2"/>
  <c r="G23" i="2"/>
  <c r="G22" i="2"/>
  <c r="G19" i="2"/>
  <c r="G17" i="2"/>
  <c r="G16" i="2"/>
  <c r="G6" i="2"/>
  <c r="F49" i="5"/>
  <c r="E49" i="5"/>
  <c r="F40" i="5"/>
  <c r="E40" i="5"/>
  <c r="F33" i="5"/>
  <c r="E33" i="5"/>
  <c r="F25" i="5"/>
  <c r="E25" i="5"/>
  <c r="F13" i="5"/>
  <c r="E13" i="5"/>
  <c r="F13" i="4"/>
  <c r="E13" i="4"/>
  <c r="F12" i="4"/>
  <c r="E12" i="4"/>
  <c r="C28" i="4"/>
  <c r="D28" i="4"/>
  <c r="E28" i="4"/>
  <c r="F28" i="4"/>
  <c r="B28" i="4"/>
  <c r="C21" i="4"/>
  <c r="D21" i="4"/>
  <c r="E21" i="4"/>
  <c r="F21" i="4"/>
  <c r="B21" i="4"/>
  <c r="C17" i="4"/>
  <c r="D17" i="4"/>
  <c r="E17" i="4"/>
  <c r="F17" i="4"/>
  <c r="B17" i="4"/>
  <c r="C16" i="4"/>
  <c r="D16" i="4"/>
  <c r="E16" i="4"/>
  <c r="F16" i="4"/>
  <c r="B16" i="4"/>
  <c r="C14" i="4"/>
  <c r="D14" i="4"/>
  <c r="E14" i="4"/>
  <c r="F14" i="4"/>
  <c r="C15" i="4"/>
  <c r="D15" i="4"/>
  <c r="E15" i="4"/>
  <c r="F15" i="4"/>
  <c r="B15" i="4"/>
  <c r="B14" i="4"/>
  <c r="C11" i="4"/>
  <c r="D11" i="4"/>
  <c r="E11" i="4"/>
  <c r="F11" i="4"/>
  <c r="B11" i="4"/>
  <c r="D7" i="4"/>
  <c r="E7" i="4"/>
  <c r="F7" i="4"/>
  <c r="C7" i="4"/>
  <c r="B7" i="4"/>
  <c r="C5" i="4"/>
  <c r="C8" i="4" s="1"/>
  <c r="D5" i="4"/>
  <c r="E5" i="4"/>
  <c r="F5" i="4"/>
  <c r="B5" i="4"/>
  <c r="D26" i="2"/>
  <c r="E26" i="2"/>
  <c r="F26" i="2"/>
  <c r="C26" i="2"/>
  <c r="E22" i="2"/>
  <c r="E23" i="2" s="1"/>
  <c r="E26" i="4" s="1"/>
  <c r="F22" i="2"/>
  <c r="F23" i="2" s="1"/>
  <c r="F26" i="4" s="1"/>
  <c r="E17" i="2"/>
  <c r="E19" i="2" s="1"/>
  <c r="E24" i="2" s="1"/>
  <c r="E27" i="4" s="1"/>
  <c r="F17" i="2"/>
  <c r="F20" i="4" s="1"/>
  <c r="F22" i="4" s="1"/>
  <c r="C16" i="2"/>
  <c r="D16" i="2"/>
  <c r="B16" i="2"/>
  <c r="C6" i="2"/>
  <c r="C17" i="2" s="1"/>
  <c r="D6" i="2"/>
  <c r="D17" i="2" s="1"/>
  <c r="B6" i="2"/>
  <c r="B17" i="2" s="1"/>
  <c r="H51" i="5" l="1"/>
  <c r="E18" i="6"/>
  <c r="E20" i="6" s="1"/>
  <c r="E22" i="6" s="1"/>
  <c r="E40" i="6" s="1"/>
  <c r="E42" i="6" s="1"/>
  <c r="H20" i="5" s="1"/>
  <c r="H25" i="5" s="1"/>
  <c r="J51" i="5"/>
  <c r="I51" i="5"/>
  <c r="G18" i="6"/>
  <c r="G20" i="6" s="1"/>
  <c r="G22" i="6" s="1"/>
  <c r="G40" i="6" s="1"/>
  <c r="F18" i="6"/>
  <c r="F20" i="6" s="1"/>
  <c r="F22" i="6" s="1"/>
  <c r="F40" i="6" s="1"/>
  <c r="H27" i="5"/>
  <c r="F41" i="6"/>
  <c r="G51" i="5"/>
  <c r="E51" i="5"/>
  <c r="F51" i="5"/>
  <c r="E27" i="5"/>
  <c r="F52" i="5"/>
  <c r="F27" i="5"/>
  <c r="E52" i="5"/>
  <c r="B20" i="4"/>
  <c r="B22" i="4" s="1"/>
  <c r="B22" i="2"/>
  <c r="B23" i="2" s="1"/>
  <c r="B26" i="4" s="1"/>
  <c r="B19" i="2"/>
  <c r="B24" i="2" s="1"/>
  <c r="B27" i="4" s="1"/>
  <c r="D19" i="2"/>
  <c r="D24" i="2" s="1"/>
  <c r="D27" i="4" s="1"/>
  <c r="D22" i="2"/>
  <c r="D23" i="2" s="1"/>
  <c r="D26" i="4" s="1"/>
  <c r="D20" i="4"/>
  <c r="D22" i="4" s="1"/>
  <c r="C22" i="2"/>
  <c r="C23" i="2" s="1"/>
  <c r="C26" i="4" s="1"/>
  <c r="C19" i="2"/>
  <c r="C24" i="2" s="1"/>
  <c r="C27" i="4" s="1"/>
  <c r="C20" i="4"/>
  <c r="C22" i="4" s="1"/>
  <c r="E20" i="4"/>
  <c r="E22" i="4" s="1"/>
  <c r="F19" i="2"/>
  <c r="F24" i="2" s="1"/>
  <c r="F27" i="4" s="1"/>
  <c r="B8" i="4"/>
  <c r="F8" i="4"/>
  <c r="B25" i="4"/>
  <c r="F18" i="4"/>
  <c r="E18" i="4"/>
  <c r="B18" i="4"/>
  <c r="D18" i="4"/>
  <c r="C18" i="4"/>
  <c r="F25" i="4"/>
  <c r="E8" i="4"/>
  <c r="D8" i="4"/>
  <c r="C25" i="4"/>
  <c r="F42" i="6" l="1"/>
  <c r="G41" i="6"/>
  <c r="G42" i="6" s="1"/>
  <c r="J20" i="5" s="1"/>
  <c r="J25" i="5" s="1"/>
  <c r="J27" i="5" s="1"/>
  <c r="I20" i="5"/>
  <c r="I25" i="5" s="1"/>
  <c r="I27" i="5" s="1"/>
  <c r="D25" i="4"/>
  <c r="E25" i="4"/>
  <c r="B42" i="7"/>
</calcChain>
</file>

<file path=xl/sharedStrings.xml><?xml version="1.0" encoding="utf-8"?>
<sst xmlns="http://schemas.openxmlformats.org/spreadsheetml/2006/main" count="311" uniqueCount="199">
  <si>
    <t>Company Name</t>
  </si>
  <si>
    <t>Vinati Organics limited</t>
  </si>
  <si>
    <t>Stock Exchange</t>
  </si>
  <si>
    <t>NSE/ BSE</t>
  </si>
  <si>
    <t>Ticker</t>
  </si>
  <si>
    <t>VINATIORGA</t>
  </si>
  <si>
    <t>Model Type</t>
  </si>
  <si>
    <t>3 Statement financial model + DCF valuation</t>
  </si>
  <si>
    <t>Currency</t>
  </si>
  <si>
    <t>INR (₹ Crores)</t>
  </si>
  <si>
    <t>Fiscal Year End</t>
  </si>
  <si>
    <t>Historical Data</t>
  </si>
  <si>
    <t>FY2020 – FY2024</t>
  </si>
  <si>
    <t>Projection Period</t>
  </si>
  <si>
    <t>FY2025E – FY2027E</t>
  </si>
  <si>
    <t>Model Built By</t>
  </si>
  <si>
    <t>Yakuta Ali</t>
  </si>
  <si>
    <t>Date</t>
  </si>
  <si>
    <t>Data Sources</t>
  </si>
  <si>
    <t>BSE Annual Reports, Screener.in</t>
  </si>
  <si>
    <t>COLOR CODING LEGEND</t>
  </si>
  <si>
    <t>Color</t>
  </si>
  <si>
    <t>Hard coded input (number typed manually</t>
  </si>
  <si>
    <t>Formula Cells( calculated by Excel)</t>
  </si>
  <si>
    <t>Yellow fill</t>
  </si>
  <si>
    <t>Green fill</t>
  </si>
  <si>
    <t>Blue fill</t>
  </si>
  <si>
    <t>Assumption (Inputs in Assumptions tab)</t>
  </si>
  <si>
    <t>Purple fill</t>
  </si>
  <si>
    <t>Linked from another sheet (pull data across sheets)</t>
  </si>
  <si>
    <t>Meaning</t>
  </si>
  <si>
    <t>Revenue Growth Assumption Rationale</t>
  </si>
  <si>
    <t>Vinati Organics' revenue is projected to grow at 12–15% in FY2025E and FY2026E, moderating to 10–12% in FY2027E. The near-term recovery is driven by normalisation of the global destocking cycle and the beginning of a restocking phase across key end-use industries. Domestic demand is expected to accelerate supported by India's position as the world's fastest-growing major economy, increased government spending on specialty chemical infrastructure under the PCPIR policy, and the Viksit Bharat initiative. Globally, the China Plus One sourcing strategy is redirecting chemical procurement toward Indian manufacturers, directly benefiting Vinati as the world's largest producer of IBB and ATBS. Long-term structural growth is underpinned by rising demand in water treatment, clean energy applications, and increasing per capita consumption in India.</t>
  </si>
  <si>
    <t>Vinati Organics raw data</t>
  </si>
  <si>
    <t>Particulars</t>
  </si>
  <si>
    <t>FY2020</t>
  </si>
  <si>
    <t>FY2021</t>
  </si>
  <si>
    <t>FY2022</t>
  </si>
  <si>
    <t>FY2023</t>
  </si>
  <si>
    <t>FY2024</t>
  </si>
  <si>
    <t>INCOME</t>
  </si>
  <si>
    <t>TOTAL INCOME</t>
  </si>
  <si>
    <t>EXPENSES</t>
  </si>
  <si>
    <t>Cost of Materials Consumed</t>
  </si>
  <si>
    <t>Purchase of Stock in Trade</t>
  </si>
  <si>
    <t>Changes in Inventories</t>
  </si>
  <si>
    <t>Employee Benefits Expense</t>
  </si>
  <si>
    <t>Finance Costs</t>
  </si>
  <si>
    <t>Depreciation and Amortisation</t>
  </si>
  <si>
    <t>Other Expenses</t>
  </si>
  <si>
    <t>TOTAL EXPENSES</t>
  </si>
  <si>
    <t>Profit Before Tax</t>
  </si>
  <si>
    <t>Tax Expense</t>
  </si>
  <si>
    <t>Net Profit (PAT)</t>
  </si>
  <si>
    <t>KEY METRICS</t>
  </si>
  <si>
    <t>EBITDA</t>
  </si>
  <si>
    <t>EBITDA Margin %</t>
  </si>
  <si>
    <t>Net Profit Margin %</t>
  </si>
  <si>
    <t>Other income</t>
  </si>
  <si>
    <t xml:space="preserve">Revenue from operations </t>
  </si>
  <si>
    <t>EPS - Basic</t>
  </si>
  <si>
    <t>Revenue Growth %</t>
  </si>
  <si>
    <t>VINATI ORGANICS — PROFIT &amp; LOSS STATEMENT</t>
  </si>
  <si>
    <t>(₹ in Crores)</t>
  </si>
  <si>
    <t>FY2026E</t>
  </si>
  <si>
    <t>FY2027E</t>
  </si>
  <si>
    <t>Revenue from Operations</t>
  </si>
  <si>
    <t>YoY Growth %</t>
  </si>
  <si>
    <t>Other Income</t>
  </si>
  <si>
    <t>NET PROFIT (PAT)</t>
  </si>
  <si>
    <t>ASSUMPTION HEADER</t>
  </si>
  <si>
    <t>Other Income (₹ Cr)</t>
  </si>
  <si>
    <t>Material Cost % of Revenue</t>
  </si>
  <si>
    <t>Employee Cost % of Revenue</t>
  </si>
  <si>
    <t>Finance Costs (₹ Cr)</t>
  </si>
  <si>
    <t>Depreciation (₹ Cr)</t>
  </si>
  <si>
    <t>Other Expenses % of Revenue</t>
  </si>
  <si>
    <t>Tax Rate %</t>
  </si>
  <si>
    <t>VINATI ORGANICS — BALANCE SHEET</t>
  </si>
  <si>
    <t>ASSETS</t>
  </si>
  <si>
    <t>NON-CURRENT ASSETS</t>
  </si>
  <si>
    <t>Property Plant &amp; Equipment</t>
  </si>
  <si>
    <t>Capital Work in Progress</t>
  </si>
  <si>
    <t>Intangible Assets</t>
  </si>
  <si>
    <t>Investments - Non Current</t>
  </si>
  <si>
    <t>Other Non-Current Assets</t>
  </si>
  <si>
    <t>TOTAL NON-CURRENT ASSETS</t>
  </si>
  <si>
    <t>CURRENT ASSETS</t>
  </si>
  <si>
    <t>Inventories</t>
  </si>
  <si>
    <t>Trade Receivables</t>
  </si>
  <si>
    <t>Cash &amp; Cash Equivalents</t>
  </si>
  <si>
    <t>Other Current Assets</t>
  </si>
  <si>
    <t>TOTAL CURRENT ASSETS</t>
  </si>
  <si>
    <t>TOTAL ASSETS</t>
  </si>
  <si>
    <t>EQUITY &amp; LIABILITIES</t>
  </si>
  <si>
    <t>EQUITY</t>
  </si>
  <si>
    <t>Share Capital</t>
  </si>
  <si>
    <t>Other Equity</t>
  </si>
  <si>
    <t>TOTAL EQUITY</t>
  </si>
  <si>
    <t>NON-CURRENT LIABILITIES</t>
  </si>
  <si>
    <t>Deferred Tax Liabilities</t>
  </si>
  <si>
    <t>Other Non-Current Liabilities</t>
  </si>
  <si>
    <t>TOTAL NON-CURRENT LIABILITIES</t>
  </si>
  <si>
    <t>CURRENT LIABILITIES</t>
  </si>
  <si>
    <t>Trade Payables</t>
  </si>
  <si>
    <t>Other Current Liabilities</t>
  </si>
  <si>
    <t>TOTAL CURRENT LIABILITIES</t>
  </si>
  <si>
    <t>TOTAL LIABILITIES</t>
  </si>
  <si>
    <t>TOTAL EQUITY &amp; LIABILITIES</t>
  </si>
  <si>
    <t>Other Financial Assets — NC</t>
  </si>
  <si>
    <t>Investments</t>
  </si>
  <si>
    <t>Bank Balances other than Cash</t>
  </si>
  <si>
    <t>Loans</t>
  </si>
  <si>
    <t>Other Financial Assets</t>
  </si>
  <si>
    <t>Current Tax Assets</t>
  </si>
  <si>
    <t>Borrowings</t>
  </si>
  <si>
    <t>Other Financial Liabilities</t>
  </si>
  <si>
    <t>Provisions</t>
  </si>
  <si>
    <t>Current Tax Liabilities</t>
  </si>
  <si>
    <t>Balance sheet Assumptions</t>
  </si>
  <si>
    <t>FY2025</t>
  </si>
  <si>
    <t>FY2028E</t>
  </si>
  <si>
    <t>Capex ₹ Cr</t>
  </si>
  <si>
    <t>Debtor Days</t>
  </si>
  <si>
    <t>Inventory Days</t>
  </si>
  <si>
    <t>Payable Days</t>
  </si>
  <si>
    <t>Dividend Payout %</t>
  </si>
  <si>
    <t>VINATI ORGANICS — CASH FLOW STATEMENT</t>
  </si>
  <si>
    <t>OPERATING ACTIVITIES</t>
  </si>
  <si>
    <t>Add: Depreciation</t>
  </si>
  <si>
    <t>Add: Finance Costs</t>
  </si>
  <si>
    <t>Operating Profit Before Working Capital Changes</t>
  </si>
  <si>
    <t>Working Capital Changes</t>
  </si>
  <si>
    <t>(Increase)/Decrease in Inventories</t>
  </si>
  <si>
    <t>(Increase)/Decrease in Trade Receivables</t>
  </si>
  <si>
    <t>(Increase)/Decrease in Other Current Assets</t>
  </si>
  <si>
    <t>Increase/(Decrease) in Trade Payables</t>
  </si>
  <si>
    <t>Increase/(Decrease) in Other Current Liabilities</t>
  </si>
  <si>
    <t>Total Working Capital Changes</t>
  </si>
  <si>
    <t>Cash Generated From Operations</t>
  </si>
  <si>
    <t>Less: Tax Paid</t>
  </si>
  <si>
    <t>NET CASH FROM OPERATING ACTIVITIES</t>
  </si>
  <si>
    <t>INVESTING ACTIVITIES</t>
  </si>
  <si>
    <t>Purchase of Fixed Assets (Capex)</t>
  </si>
  <si>
    <t>Purchase of Investments</t>
  </si>
  <si>
    <t>Proceeds from Investments</t>
  </si>
  <si>
    <t>Interest Income</t>
  </si>
  <si>
    <t>NET CASH FROM INVESTING ACTIVITIES</t>
  </si>
  <si>
    <t>FINANCING ACTIVITIES</t>
  </si>
  <si>
    <t>Proceeds from/(Repayment of) Borrowings</t>
  </si>
  <si>
    <t>Dividends Paid</t>
  </si>
  <si>
    <t>Finance Costs Paid</t>
  </si>
  <si>
    <t>NET CASH FROM FINANCING ACTIVITIES</t>
  </si>
  <si>
    <t>NET CHANGE IN CASH</t>
  </si>
  <si>
    <t>Opening Cash Balance</t>
  </si>
  <si>
    <t>CLOSING CASH BALANCE</t>
  </si>
  <si>
    <t>Other Adjustments (net)</t>
  </si>
  <si>
    <t>Change in Other Items (net)</t>
  </si>
  <si>
    <t>PARTICULAR</t>
  </si>
  <si>
    <t>Investment in Subsidiary</t>
  </si>
  <si>
    <t>Other Investing Items</t>
  </si>
  <si>
    <t>Proceeds from sale of PPE</t>
  </si>
  <si>
    <t>VINATI ORGANICS — DCF VALUATION</t>
  </si>
  <si>
    <t>WACC ASSUMPTIONS</t>
  </si>
  <si>
    <t>Risk Free Rate</t>
  </si>
  <si>
    <t>Equity Risk Premium</t>
  </si>
  <si>
    <t>Beta</t>
  </si>
  <si>
    <t>Cost of Equity</t>
  </si>
  <si>
    <t>Cost of Debt (Pre Tax)</t>
  </si>
  <si>
    <t>Tax Rate</t>
  </si>
  <si>
    <t>After Tax Cost of Debt</t>
  </si>
  <si>
    <t>Debt Weight</t>
  </si>
  <si>
    <t>Equity Weight</t>
  </si>
  <si>
    <t>WACC</t>
  </si>
  <si>
    <t>FCF CALCULATION</t>
  </si>
  <si>
    <t>EBIT</t>
  </si>
  <si>
    <t>Tax on EBIT</t>
  </si>
  <si>
    <t>NOPAT</t>
  </si>
  <si>
    <t>Add Depreciation</t>
  </si>
  <si>
    <t>Less Capex</t>
  </si>
  <si>
    <t>Less Change in Working Capital</t>
  </si>
  <si>
    <t>Free Cash Flow to Firm</t>
  </si>
  <si>
    <t>Year Number</t>
  </si>
  <si>
    <t>Discount Factor</t>
  </si>
  <si>
    <t>PV of FCF</t>
  </si>
  <si>
    <t>VALUATION</t>
  </si>
  <si>
    <t>Terminal Growth Rate</t>
  </si>
  <si>
    <t>Terminal Value</t>
  </si>
  <si>
    <t>PV of Terminal Value</t>
  </si>
  <si>
    <t>Sum of PV of FCFs</t>
  </si>
  <si>
    <t>Enterprise Value</t>
  </si>
  <si>
    <t>Less Total Debt</t>
  </si>
  <si>
    <t>Add Cash &amp; Investments</t>
  </si>
  <si>
    <t>Equity Value</t>
  </si>
  <si>
    <t>Shares Outstanding (Crores)</t>
  </si>
  <si>
    <t>Intrinsic Value Per Share (₹)</t>
  </si>
  <si>
    <t>Current Market Price (₹)</t>
  </si>
  <si>
    <t>Upside / Downside %</t>
  </si>
  <si>
    <t>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</si>
</sst>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9">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b/>
      <sz val="26"/>
      <color theme="1"/>
      <name val="Calibri"/>
      <family val="2"/>
      <scheme val="minor"/>
    </font>
    <font>
      <b/>
      <sz val="11"/>
      <color theme="1"/>
      <name val="Arial Black"/>
      <family val="2"/>
    </font>
    <font>
      <sz val="11"/>
      <color theme="1"/>
      <name val="Arial Black"/>
      <family val="2"/>
    </font>
    <font>
      <b/>
      <sz val="18"/>
      <color theme="1"/>
      <name val="Arial Black"/>
      <family val="2"/>
    </font>
    <font>
      <sz val="11"/>
      <color theme="1"/>
      <name val="Calibri"/>
      <family val="2"/>
      <scheme val="minor"/>
    </font>
    <font>
      <sz val="11"/>
      <color rgb="FF22222F"/>
      <name val="Calibri"/>
      <family val="2"/>
      <scheme val="minor"/>
    </font>
    <font>
      <sz val="11"/>
      <color rgb="FF22222F"/>
      <name val="Arial"/>
      <family val="2"/>
    </font>
    <font>
      <sz val="11"/>
      <color rgb="FFFF0000"/>
      <name val="Calibri"/>
      <family val="2"/>
      <scheme val="minor"/>
    </font>
    <font>
      <b/>
      <sz val="11"/>
      <color rgb="FFFF0000"/>
      <name val="Calibri"/>
      <family val="2"/>
      <scheme val="minor"/>
    </font>
    <font>
      <sz val="14"/>
      <color theme="1"/>
      <name val="Arial Black"/>
      <family val="2"/>
    </font>
    <font>
      <b/>
      <sz val="12"/>
      <color theme="1"/>
      <name val="Calibri"/>
      <family val="2"/>
      <scheme val="minor"/>
    </font>
    <font>
      <sz val="10"/>
      <color theme="1"/>
      <name val="Arial Unicode MS"/>
    </font>
    <font>
      <b/>
      <sz val="20"/>
      <color theme="1"/>
      <name val="Calibri"/>
      <family val="2"/>
      <scheme val="minor"/>
    </font>
    <font>
      <sz val="8"/>
      <name val="Calibri"/>
      <family val="2"/>
      <scheme val="minor"/>
    </font>
    <font>
      <b/>
      <sz val="16"/>
      <color theme="1"/>
      <name val="Calibri"/>
      <family val="2"/>
      <scheme val="minor"/>
    </font>
  </fonts>
  <fills count="12">
    <fill>
      <patternFill patternType="none"/>
    </fill>
    <fill>
      <patternFill patternType="gray125"/>
    </fill>
    <fill>
      <patternFill patternType="solid">
        <fgColor rgb="FFCC66FF"/>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rgb="FFFF0000"/>
        <bgColor indexed="64"/>
      </patternFill>
    </fill>
    <fill>
      <patternFill patternType="solid">
        <fgColor theme="0" tint="-0.14999847407452621"/>
        <bgColor indexed="64"/>
      </patternFill>
    </fill>
  </fills>
  <borders count="5">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3">
    <xf numFmtId="0" fontId="0" fillId="0" borderId="0"/>
    <xf numFmtId="43" fontId="8" fillId="0" borderId="0" applyFont="0" applyFill="0" applyBorder="0" applyAlignment="0" applyProtection="0"/>
    <xf numFmtId="9" fontId="8" fillId="0" borderId="0" applyFont="0" applyFill="0" applyBorder="0" applyAlignment="0" applyProtection="0"/>
  </cellStyleXfs>
  <cellXfs count="82">
    <xf numFmtId="0" fontId="0" fillId="0" borderId="0" xfId="0"/>
    <xf numFmtId="0" fontId="0" fillId="0" borderId="1" xfId="0" applyBorder="1"/>
    <xf numFmtId="0" fontId="3" fillId="0" borderId="1" xfId="0" applyFont="1" applyBorder="1"/>
    <xf numFmtId="0" fontId="0" fillId="0" borderId="2" xfId="0" applyBorder="1"/>
    <xf numFmtId="16" fontId="0" fillId="0" borderId="2" xfId="0" applyNumberFormat="1" applyBorder="1" applyAlignment="1">
      <alignment horizontal="left" vertical="top"/>
    </xf>
    <xf numFmtId="17" fontId="0" fillId="0" borderId="2" xfId="0" applyNumberFormat="1" applyBorder="1" applyAlignment="1">
      <alignment horizontal="left"/>
    </xf>
    <xf numFmtId="0" fontId="1" fillId="0" borderId="2" xfId="0" applyFont="1" applyBorder="1"/>
    <xf numFmtId="0" fontId="1" fillId="7" borderId="2" xfId="0" applyFont="1" applyFill="1" applyBorder="1"/>
    <xf numFmtId="0" fontId="2" fillId="8" borderId="0" xfId="0" applyFont="1" applyFill="1"/>
    <xf numFmtId="0" fontId="0" fillId="5" borderId="2" xfId="0" applyFill="1" applyBorder="1"/>
    <xf numFmtId="0" fontId="0" fillId="4" borderId="2" xfId="0" applyFill="1" applyBorder="1"/>
    <xf numFmtId="0" fontId="0" fillId="3" borderId="2" xfId="0" applyFill="1" applyBorder="1"/>
    <xf numFmtId="0" fontId="0" fillId="2" borderId="2" xfId="0" applyFill="1" applyBorder="1"/>
    <xf numFmtId="0" fontId="4" fillId="6" borderId="2" xfId="0" applyFont="1" applyFill="1" applyBorder="1"/>
    <xf numFmtId="0" fontId="5" fillId="9" borderId="0" xfId="0" applyFont="1" applyFill="1"/>
    <xf numFmtId="0" fontId="5" fillId="0" borderId="0" xfId="0" applyFont="1"/>
    <xf numFmtId="0" fontId="6" fillId="9" borderId="0" xfId="0" applyFont="1" applyFill="1"/>
    <xf numFmtId="0" fontId="1" fillId="0" borderId="0" xfId="0" applyFont="1"/>
    <xf numFmtId="0" fontId="1" fillId="7" borderId="0" xfId="0" applyFont="1" applyFill="1"/>
    <xf numFmtId="4" fontId="0" fillId="5" borderId="0" xfId="0" applyNumberFormat="1" applyFill="1"/>
    <xf numFmtId="4" fontId="0" fillId="0" borderId="0" xfId="0" applyNumberFormat="1"/>
    <xf numFmtId="0" fontId="0" fillId="5" borderId="0" xfId="0" applyFill="1"/>
    <xf numFmtId="0" fontId="10" fillId="5" borderId="0" xfId="0" applyFont="1" applyFill="1" applyAlignment="1">
      <alignment horizontal="right" vertical="center" wrapText="1"/>
    </xf>
    <xf numFmtId="0" fontId="2" fillId="5" borderId="0" xfId="0" applyFont="1" applyFill="1"/>
    <xf numFmtId="43" fontId="8" fillId="5" borderId="0" xfId="1" applyFont="1" applyFill="1" applyBorder="1"/>
    <xf numFmtId="0" fontId="0" fillId="10" borderId="0" xfId="0" applyFill="1"/>
    <xf numFmtId="0" fontId="9" fillId="10" borderId="0" xfId="0" applyFont="1" applyFill="1" applyAlignment="1">
      <alignment horizontal="right" vertical="center"/>
    </xf>
    <xf numFmtId="0" fontId="1" fillId="4" borderId="0" xfId="0" applyFont="1" applyFill="1"/>
    <xf numFmtId="0" fontId="0" fillId="4" borderId="0" xfId="0" applyFill="1"/>
    <xf numFmtId="0" fontId="0" fillId="4" borderId="0" xfId="2" applyNumberFormat="1" applyFont="1" applyFill="1"/>
    <xf numFmtId="4" fontId="1" fillId="5" borderId="0" xfId="0" applyNumberFormat="1" applyFont="1" applyFill="1"/>
    <xf numFmtId="0" fontId="12" fillId="0" borderId="0" xfId="0" applyFont="1"/>
    <xf numFmtId="0" fontId="11" fillId="0" borderId="0" xfId="0" applyFont="1"/>
    <xf numFmtId="0" fontId="11" fillId="0" borderId="0" xfId="0" applyFont="1" applyAlignment="1">
      <alignment vertical="center"/>
    </xf>
    <xf numFmtId="0" fontId="13" fillId="0" borderId="0" xfId="0" applyFont="1"/>
    <xf numFmtId="0" fontId="2" fillId="0" borderId="0" xfId="0" applyFont="1"/>
    <xf numFmtId="0" fontId="1" fillId="0" borderId="3" xfId="0" applyFont="1" applyBorder="1"/>
    <xf numFmtId="0" fontId="0" fillId="5" borderId="3" xfId="0" applyFill="1" applyBorder="1"/>
    <xf numFmtId="0" fontId="0" fillId="4" borderId="3" xfId="0" applyFill="1" applyBorder="1"/>
    <xf numFmtId="0" fontId="0" fillId="3" borderId="3" xfId="0" applyFill="1" applyBorder="1"/>
    <xf numFmtId="0" fontId="0" fillId="2" borderId="3" xfId="0" applyFill="1" applyBorder="1"/>
    <xf numFmtId="0" fontId="14" fillId="9" borderId="0" xfId="0" applyFont="1" applyFill="1"/>
    <xf numFmtId="0" fontId="0" fillId="7" borderId="0" xfId="0" applyFill="1"/>
    <xf numFmtId="0" fontId="0" fillId="2" borderId="0" xfId="0" applyFill="1"/>
    <xf numFmtId="0" fontId="15" fillId="2" borderId="0" xfId="0" applyFont="1" applyFill="1"/>
    <xf numFmtId="0" fontId="0" fillId="0" borderId="0" xfId="0" applyAlignment="1">
      <alignment wrapText="1"/>
    </xf>
    <xf numFmtId="0" fontId="14" fillId="9" borderId="0" xfId="0" applyFont="1" applyFill="1" applyAlignment="1">
      <alignment horizontal="center" vertical="center"/>
    </xf>
    <xf numFmtId="0" fontId="1" fillId="3" borderId="0" xfId="0" applyFont="1" applyFill="1"/>
    <xf numFmtId="9" fontId="0" fillId="3" borderId="0" xfId="0" applyNumberFormat="1" applyFill="1"/>
    <xf numFmtId="0" fontId="0" fillId="3" borderId="0" xfId="0" applyFill="1"/>
    <xf numFmtId="10" fontId="0" fillId="3" borderId="0" xfId="0" applyNumberFormat="1" applyFill="1"/>
    <xf numFmtId="0" fontId="0" fillId="2" borderId="0" xfId="0" quotePrefix="1" applyFill="1"/>
    <xf numFmtId="0" fontId="3" fillId="0" borderId="0" xfId="0" applyFont="1"/>
    <xf numFmtId="0" fontId="0" fillId="0" borderId="0" xfId="0" applyAlignment="1">
      <alignment horizontal="center" vertical="center"/>
    </xf>
    <xf numFmtId="0" fontId="16" fillId="0" borderId="0" xfId="0" applyFont="1" applyAlignment="1">
      <alignment horizontal="left" vertical="center"/>
    </xf>
    <xf numFmtId="0" fontId="16" fillId="0" borderId="0" xfId="0" applyFont="1"/>
    <xf numFmtId="0" fontId="2" fillId="9" borderId="0" xfId="0" applyFont="1" applyFill="1"/>
    <xf numFmtId="4" fontId="0" fillId="4" borderId="0" xfId="0" applyNumberFormat="1" applyFill="1"/>
    <xf numFmtId="0" fontId="2" fillId="7" borderId="0" xfId="0" applyFont="1" applyFill="1" applyAlignment="1">
      <alignment vertical="center"/>
    </xf>
    <xf numFmtId="0" fontId="0" fillId="9" borderId="0" xfId="0" applyFill="1"/>
    <xf numFmtId="4" fontId="1" fillId="4" borderId="0" xfId="0" applyNumberFormat="1" applyFont="1" applyFill="1"/>
    <xf numFmtId="164" fontId="0" fillId="4" borderId="0" xfId="0" applyNumberFormat="1" applyFill="1"/>
    <xf numFmtId="4" fontId="0" fillId="2" borderId="0" xfId="0" applyNumberFormat="1" applyFill="1"/>
    <xf numFmtId="0" fontId="14" fillId="7" borderId="0" xfId="0" applyFont="1" applyFill="1"/>
    <xf numFmtId="0" fontId="14" fillId="11" borderId="0" xfId="0" applyFont="1" applyFill="1"/>
    <xf numFmtId="0" fontId="14" fillId="0" borderId="0" xfId="0" applyFont="1"/>
    <xf numFmtId="0" fontId="1" fillId="9" borderId="0" xfId="0" applyFont="1" applyFill="1"/>
    <xf numFmtId="0" fontId="1" fillId="5" borderId="0" xfId="0" applyFont="1" applyFill="1"/>
    <xf numFmtId="2" fontId="15" fillId="2" borderId="0" xfId="0" applyNumberFormat="1" applyFont="1" applyFill="1"/>
    <xf numFmtId="2" fontId="0" fillId="4" borderId="0" xfId="0" applyNumberFormat="1" applyFill="1"/>
    <xf numFmtId="2" fontId="0" fillId="5" borderId="0" xfId="0" applyNumberFormat="1" applyFill="1"/>
    <xf numFmtId="0" fontId="16" fillId="0" borderId="0" xfId="0" applyFont="1" applyAlignment="1">
      <alignment horizontal="left"/>
    </xf>
    <xf numFmtId="0" fontId="18" fillId="0" borderId="0" xfId="0" applyFont="1"/>
    <xf numFmtId="0" fontId="0" fillId="3" borderId="4" xfId="0" applyFill="1" applyBorder="1"/>
    <xf numFmtId="0" fontId="1" fillId="3" borderId="4" xfId="0" applyFont="1" applyFill="1" applyBorder="1"/>
    <xf numFmtId="10" fontId="0" fillId="4" borderId="0" xfId="0" applyNumberFormat="1" applyFill="1"/>
    <xf numFmtId="2" fontId="0" fillId="0" borderId="0" xfId="0" applyNumberFormat="1"/>
    <xf numFmtId="4" fontId="0" fillId="0" borderId="0" xfId="0" quotePrefix="1" applyNumberFormat="1"/>
    <xf numFmtId="3" fontId="0" fillId="4" borderId="0" xfId="0" applyNumberFormat="1" applyFill="1" applyAlignment="1">
      <alignment horizontal="right"/>
    </xf>
    <xf numFmtId="0" fontId="2" fillId="7" borderId="0" xfId="0" applyFont="1" applyFill="1"/>
    <xf numFmtId="0" fontId="2" fillId="7" borderId="4" xfId="0" applyFont="1" applyFill="1" applyBorder="1"/>
    <xf numFmtId="0" fontId="7" fillId="0" borderId="0" xfId="0" applyFont="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44DE6-8C35-4DF7-8CE5-6D668F24C1E3}">
  <dimension ref="A1:B11"/>
  <sheetViews>
    <sheetView workbookViewId="0">
      <selection activeCell="M15" sqref="M15"/>
    </sheetView>
  </sheetViews>
  <sheetFormatPr defaultRowHeight="14.4"/>
  <cols>
    <col min="1" max="1" width="19.77734375" customWidth="1"/>
    <col min="2" max="2" width="46.33203125" customWidth="1"/>
  </cols>
  <sheetData>
    <row r="1" spans="1:2" ht="33.6">
      <c r="A1" s="13" t="s">
        <v>0</v>
      </c>
      <c r="B1" s="13" t="s">
        <v>1</v>
      </c>
    </row>
    <row r="2" spans="1:2">
      <c r="A2" s="7" t="s">
        <v>2</v>
      </c>
      <c r="B2" s="3" t="s">
        <v>3</v>
      </c>
    </row>
    <row r="3" spans="1:2">
      <c r="A3" s="7" t="s">
        <v>4</v>
      </c>
      <c r="B3" s="3" t="s">
        <v>5</v>
      </c>
    </row>
    <row r="4" spans="1:2">
      <c r="A4" s="7" t="s">
        <v>6</v>
      </c>
      <c r="B4" s="3" t="s">
        <v>7</v>
      </c>
    </row>
    <row r="5" spans="1:2">
      <c r="A5" s="7" t="s">
        <v>8</v>
      </c>
      <c r="B5" s="3" t="s">
        <v>9</v>
      </c>
    </row>
    <row r="6" spans="1:2">
      <c r="A6" s="7" t="s">
        <v>10</v>
      </c>
      <c r="B6" s="4">
        <v>46112</v>
      </c>
    </row>
    <row r="7" spans="1:2">
      <c r="A7" s="7" t="s">
        <v>11</v>
      </c>
      <c r="B7" s="3" t="s">
        <v>12</v>
      </c>
    </row>
    <row r="8" spans="1:2">
      <c r="A8" s="7" t="s">
        <v>13</v>
      </c>
      <c r="B8" s="3" t="s">
        <v>14</v>
      </c>
    </row>
    <row r="9" spans="1:2">
      <c r="A9" s="7" t="s">
        <v>15</v>
      </c>
      <c r="B9" s="3" t="s">
        <v>16</v>
      </c>
    </row>
    <row r="10" spans="1:2">
      <c r="A10" s="7" t="s">
        <v>17</v>
      </c>
      <c r="B10" s="5">
        <v>46143</v>
      </c>
    </row>
    <row r="11" spans="1:2">
      <c r="A11" s="7" t="s">
        <v>18</v>
      </c>
      <c r="B11" s="3"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80ECE-9804-4FF5-9FA6-777F3A6FCBD4}">
  <dimension ref="A1:I26"/>
  <sheetViews>
    <sheetView workbookViewId="0">
      <selection activeCell="G23" sqref="G23"/>
    </sheetView>
  </sheetViews>
  <sheetFormatPr defaultRowHeight="14.4"/>
  <cols>
    <col min="1" max="1" width="27.33203125" bestFit="1" customWidth="1"/>
    <col min="2" max="2" width="12" bestFit="1" customWidth="1"/>
    <col min="3" max="3" width="9.21875" bestFit="1" customWidth="1"/>
    <col min="4" max="4" width="10.44140625" bestFit="1" customWidth="1"/>
    <col min="5" max="6" width="9.21875" bestFit="1" customWidth="1"/>
    <col min="9" max="9" width="43.21875" bestFit="1" customWidth="1"/>
  </cols>
  <sheetData>
    <row r="1" spans="1:9" ht="27.6">
      <c r="A1" s="81" t="s">
        <v>33</v>
      </c>
      <c r="B1" s="81"/>
      <c r="C1" s="81"/>
      <c r="D1" s="81"/>
      <c r="E1" s="81"/>
      <c r="F1" s="81"/>
      <c r="H1" s="8" t="s">
        <v>20</v>
      </c>
      <c r="I1" s="8"/>
    </row>
    <row r="2" spans="1:9" ht="17.399999999999999">
      <c r="A2" s="14" t="s">
        <v>34</v>
      </c>
      <c r="B2" s="16" t="s">
        <v>35</v>
      </c>
      <c r="C2" s="16" t="s">
        <v>36</v>
      </c>
      <c r="D2" s="16" t="s">
        <v>37</v>
      </c>
      <c r="E2" s="16" t="s">
        <v>38</v>
      </c>
      <c r="F2" s="16" t="s">
        <v>39</v>
      </c>
      <c r="G2" s="16" t="s">
        <v>120</v>
      </c>
      <c r="H2" s="6" t="s">
        <v>21</v>
      </c>
      <c r="I2" s="6" t="s">
        <v>30</v>
      </c>
    </row>
    <row r="3" spans="1:9">
      <c r="A3" s="18" t="s">
        <v>40</v>
      </c>
      <c r="E3" s="20"/>
      <c r="F3" s="20"/>
      <c r="H3" s="9" t="s">
        <v>26</v>
      </c>
      <c r="I3" s="9" t="s">
        <v>22</v>
      </c>
    </row>
    <row r="4" spans="1:9">
      <c r="A4" t="s">
        <v>59</v>
      </c>
      <c r="B4" s="21">
        <v>1028.8699999999999</v>
      </c>
      <c r="C4" s="21">
        <v>954.26</v>
      </c>
      <c r="D4" s="24">
        <v>1615.51</v>
      </c>
      <c r="E4" s="19">
        <v>2072.6999999999998</v>
      </c>
      <c r="F4" s="19">
        <v>1900</v>
      </c>
      <c r="G4" s="19">
        <v>2248.1</v>
      </c>
      <c r="H4" s="10" t="s">
        <v>25</v>
      </c>
      <c r="I4" s="10" t="s">
        <v>23</v>
      </c>
    </row>
    <row r="5" spans="1:9">
      <c r="A5" t="s">
        <v>58</v>
      </c>
      <c r="B5" s="25">
        <v>44.99</v>
      </c>
      <c r="C5" s="25">
        <v>25.86</v>
      </c>
      <c r="D5" s="26">
        <v>60.96</v>
      </c>
      <c r="E5" s="22">
        <v>52.4</v>
      </c>
      <c r="F5" s="21">
        <v>38.799999999999997</v>
      </c>
      <c r="G5" s="21">
        <v>44.29</v>
      </c>
      <c r="H5" s="11" t="s">
        <v>24</v>
      </c>
      <c r="I5" s="11" t="s">
        <v>27</v>
      </c>
    </row>
    <row r="6" spans="1:9">
      <c r="A6" s="17" t="s">
        <v>41</v>
      </c>
      <c r="B6" s="27">
        <f>B4+B5</f>
        <v>1073.8599999999999</v>
      </c>
      <c r="C6" s="27">
        <f t="shared" ref="C6:D6" si="0">C4+C5</f>
        <v>980.12</v>
      </c>
      <c r="D6" s="27">
        <f t="shared" si="0"/>
        <v>1676.47</v>
      </c>
      <c r="E6" s="30">
        <v>2125.1999999999998</v>
      </c>
      <c r="F6" s="30">
        <v>1938.8</v>
      </c>
      <c r="G6" s="30">
        <f>G4+G5</f>
        <v>2292.39</v>
      </c>
      <c r="H6" s="12" t="s">
        <v>28</v>
      </c>
      <c r="I6" s="12" t="s">
        <v>29</v>
      </c>
    </row>
    <row r="7" spans="1:9" ht="19.2">
      <c r="A7" s="15"/>
      <c r="B7" s="23"/>
      <c r="C7" s="21"/>
      <c r="D7" s="21"/>
      <c r="E7" s="21"/>
      <c r="F7" s="21"/>
      <c r="G7" s="21"/>
    </row>
    <row r="8" spans="1:9" ht="18">
      <c r="A8" s="18" t="s">
        <v>42</v>
      </c>
      <c r="B8" s="23"/>
      <c r="C8" s="21"/>
      <c r="D8" s="21"/>
      <c r="E8" s="19"/>
      <c r="F8" s="19"/>
      <c r="G8" s="21"/>
    </row>
    <row r="9" spans="1:9">
      <c r="A9" t="s">
        <v>43</v>
      </c>
      <c r="B9" s="21"/>
      <c r="C9" s="21"/>
      <c r="D9" s="21"/>
      <c r="E9" s="19">
        <v>1077.9000000000001</v>
      </c>
      <c r="F9" s="19">
        <v>1010.2</v>
      </c>
      <c r="G9" s="19">
        <v>1182.29</v>
      </c>
    </row>
    <row r="10" spans="1:9">
      <c r="A10" t="s">
        <v>44</v>
      </c>
      <c r="B10" s="21"/>
      <c r="C10" s="21"/>
      <c r="D10" s="21"/>
      <c r="E10" s="21">
        <v>0.6</v>
      </c>
      <c r="F10" s="21">
        <v>0</v>
      </c>
      <c r="G10" s="21">
        <v>0</v>
      </c>
    </row>
    <row r="11" spans="1:9">
      <c r="A11" t="s">
        <v>45</v>
      </c>
      <c r="B11" s="21"/>
      <c r="C11" s="21"/>
      <c r="D11" s="21"/>
      <c r="E11" s="21">
        <v>-4</v>
      </c>
      <c r="F11" s="21">
        <v>1.1000000000000001</v>
      </c>
      <c r="G11" s="21">
        <v>14.08</v>
      </c>
    </row>
    <row r="12" spans="1:9">
      <c r="A12" t="s">
        <v>46</v>
      </c>
      <c r="B12" s="21"/>
      <c r="C12" s="21"/>
      <c r="D12" s="21"/>
      <c r="E12" s="21">
        <v>99.6</v>
      </c>
      <c r="F12" s="21">
        <v>118.9</v>
      </c>
      <c r="G12" s="21">
        <v>137.99</v>
      </c>
    </row>
    <row r="13" spans="1:9">
      <c r="A13" t="s">
        <v>47</v>
      </c>
      <c r="B13" s="21">
        <v>2.04</v>
      </c>
      <c r="C13" s="21">
        <v>0.95</v>
      </c>
      <c r="D13" s="21">
        <v>1.65</v>
      </c>
      <c r="E13" s="21">
        <v>1.4</v>
      </c>
      <c r="F13" s="21">
        <v>3.6</v>
      </c>
      <c r="G13" s="21">
        <v>0.52</v>
      </c>
    </row>
    <row r="14" spans="1:9">
      <c r="A14" t="s">
        <v>48</v>
      </c>
      <c r="B14" s="21">
        <v>33.159999999999997</v>
      </c>
      <c r="C14" s="21">
        <v>42.91</v>
      </c>
      <c r="D14" s="21">
        <v>45.49</v>
      </c>
      <c r="E14" s="21">
        <v>59</v>
      </c>
      <c r="F14" s="21">
        <v>72.8</v>
      </c>
      <c r="G14" s="21">
        <v>80.75</v>
      </c>
    </row>
    <row r="15" spans="1:9">
      <c r="A15" t="s">
        <v>49</v>
      </c>
      <c r="B15" s="21"/>
      <c r="C15" s="21"/>
      <c r="D15" s="21"/>
      <c r="E15" s="21">
        <v>327.39999999999998</v>
      </c>
      <c r="F15" s="21">
        <v>299.60000000000002</v>
      </c>
      <c r="G15" s="21">
        <v>328.53</v>
      </c>
    </row>
    <row r="16" spans="1:9">
      <c r="A16" s="17" t="s">
        <v>50</v>
      </c>
      <c r="B16" s="27">
        <f>SUM(B9,B10,B11,B12,B13,B14,B15)</f>
        <v>35.199999999999996</v>
      </c>
      <c r="C16" s="27">
        <f t="shared" ref="C16:D16" si="1">SUM(C9,C10,C11,C12,C13,C14,C15)</f>
        <v>43.86</v>
      </c>
      <c r="D16" s="27">
        <f t="shared" si="1"/>
        <v>47.14</v>
      </c>
      <c r="E16" s="30">
        <v>1562</v>
      </c>
      <c r="F16" s="30">
        <v>1506.3</v>
      </c>
      <c r="G16" s="30">
        <f>SUM(G9:G15)</f>
        <v>1744.1599999999999</v>
      </c>
    </row>
    <row r="17" spans="1:7">
      <c r="A17" s="17" t="s">
        <v>51</v>
      </c>
      <c r="B17" s="27">
        <f>B6-B16</f>
        <v>1038.6599999999999</v>
      </c>
      <c r="C17" s="27">
        <f t="shared" ref="C17:F17" si="2">C6-C16</f>
        <v>936.26</v>
      </c>
      <c r="D17" s="27">
        <f t="shared" si="2"/>
        <v>1629.33</v>
      </c>
      <c r="E17" s="27">
        <f t="shared" si="2"/>
        <v>563.19999999999982</v>
      </c>
      <c r="F17" s="27">
        <f t="shared" si="2"/>
        <v>432.5</v>
      </c>
      <c r="G17" s="60">
        <f>G6-G16</f>
        <v>548.23</v>
      </c>
    </row>
    <row r="18" spans="1:7">
      <c r="A18" t="s">
        <v>52</v>
      </c>
      <c r="B18" s="21">
        <v>90.84</v>
      </c>
      <c r="C18" s="21">
        <v>65.91</v>
      </c>
      <c r="D18" s="21">
        <v>102.63</v>
      </c>
      <c r="E18" s="21">
        <v>144</v>
      </c>
      <c r="F18" s="21">
        <v>109.1</v>
      </c>
      <c r="G18" s="21">
        <v>133</v>
      </c>
    </row>
    <row r="19" spans="1:7">
      <c r="A19" s="18" t="s">
        <v>53</v>
      </c>
      <c r="B19" s="27">
        <f>B17-B18</f>
        <v>947.81999999999982</v>
      </c>
      <c r="C19" s="27">
        <f t="shared" ref="C19:F19" si="3">C17-C18</f>
        <v>870.35</v>
      </c>
      <c r="D19" s="27">
        <f t="shared" si="3"/>
        <v>1526.6999999999998</v>
      </c>
      <c r="E19" s="27">
        <f t="shared" si="3"/>
        <v>419.19999999999982</v>
      </c>
      <c r="F19" s="27">
        <f t="shared" si="3"/>
        <v>323.39999999999998</v>
      </c>
      <c r="G19" s="60">
        <f>G17-G18</f>
        <v>415.23</v>
      </c>
    </row>
    <row r="20" spans="1:7">
      <c r="B20" s="21"/>
      <c r="C20" s="21"/>
      <c r="D20" s="21"/>
      <c r="E20" s="21"/>
      <c r="F20" s="21"/>
      <c r="G20" s="21"/>
    </row>
    <row r="21" spans="1:7">
      <c r="A21" s="18" t="s">
        <v>54</v>
      </c>
      <c r="B21" s="21"/>
      <c r="C21" s="21"/>
      <c r="D21" s="21"/>
      <c r="E21" s="21"/>
      <c r="F21" s="21"/>
      <c r="G21" s="21"/>
    </row>
    <row r="22" spans="1:7">
      <c r="A22" s="17" t="s">
        <v>55</v>
      </c>
      <c r="B22" s="27">
        <f>SUM(B17,B13,B14)</f>
        <v>1073.8599999999999</v>
      </c>
      <c r="C22" s="27">
        <f t="shared" ref="C22:F22" si="4">SUM(C17,C13,C14)</f>
        <v>980.12</v>
      </c>
      <c r="D22" s="27">
        <f t="shared" si="4"/>
        <v>1676.47</v>
      </c>
      <c r="E22" s="27">
        <f t="shared" si="4"/>
        <v>623.5999999999998</v>
      </c>
      <c r="F22" s="27">
        <f t="shared" si="4"/>
        <v>508.90000000000003</v>
      </c>
      <c r="G22" s="60">
        <f>G17+G13+G14</f>
        <v>629.5</v>
      </c>
    </row>
    <row r="23" spans="1:7">
      <c r="A23" t="s">
        <v>56</v>
      </c>
      <c r="B23" s="29">
        <f>ROUND(B22/B4*100,1)</f>
        <v>104.4</v>
      </c>
      <c r="C23" s="29">
        <f t="shared" ref="C23:G23" si="5">ROUND(C22/C4*100,1)</f>
        <v>102.7</v>
      </c>
      <c r="D23" s="29">
        <f t="shared" si="5"/>
        <v>103.8</v>
      </c>
      <c r="E23" s="29">
        <f t="shared" si="5"/>
        <v>30.1</v>
      </c>
      <c r="F23" s="29">
        <f t="shared" si="5"/>
        <v>26.8</v>
      </c>
      <c r="G23" s="29">
        <f t="shared" si="5"/>
        <v>28</v>
      </c>
    </row>
    <row r="24" spans="1:7">
      <c r="A24" t="s">
        <v>57</v>
      </c>
      <c r="B24" s="29">
        <f>ROUND(B19/B4*100,1)</f>
        <v>92.1</v>
      </c>
      <c r="C24" s="29">
        <f t="shared" ref="C24:G24" si="6">ROUND(C19/C4*100,1)</f>
        <v>91.2</v>
      </c>
      <c r="D24" s="29">
        <f t="shared" si="6"/>
        <v>94.5</v>
      </c>
      <c r="E24" s="29">
        <f t="shared" si="6"/>
        <v>20.2</v>
      </c>
      <c r="F24" s="29">
        <f t="shared" si="6"/>
        <v>17</v>
      </c>
      <c r="G24" s="29">
        <f t="shared" si="6"/>
        <v>18.5</v>
      </c>
    </row>
    <row r="25" spans="1:7">
      <c r="A25" t="s">
        <v>60</v>
      </c>
      <c r="B25" s="21">
        <v>32.47</v>
      </c>
      <c r="C25" s="21">
        <v>26.2</v>
      </c>
      <c r="D25" s="21">
        <v>33.72</v>
      </c>
      <c r="E25" s="21">
        <v>40.43</v>
      </c>
      <c r="F25" s="21">
        <v>31.2</v>
      </c>
      <c r="G25" s="21">
        <v>40.049999999999997</v>
      </c>
    </row>
    <row r="26" spans="1:7">
      <c r="A26" t="s">
        <v>61</v>
      </c>
      <c r="B26" s="28"/>
      <c r="C26" s="28">
        <f>ROUND((C4-B4)/C4*100,1)</f>
        <v>-7.8</v>
      </c>
      <c r="D26" s="28">
        <f t="shared" ref="D26:F26" si="7">ROUND((D4-C4)/D4*100,1)</f>
        <v>40.9</v>
      </c>
      <c r="E26" s="28">
        <f t="shared" si="7"/>
        <v>22.1</v>
      </c>
      <c r="F26" s="28">
        <f t="shared" si="7"/>
        <v>-9.1</v>
      </c>
      <c r="G26" s="61">
        <f>(G4-F4)/F4*100</f>
        <v>18.321052631578944</v>
      </c>
    </row>
  </sheetData>
  <mergeCells count="1">
    <mergeCell ref="A1:F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65B44-9892-4495-8143-2AFCA8D5DA3D}">
  <dimension ref="A1:BT29"/>
  <sheetViews>
    <sheetView topLeftCell="A11" zoomScale="107" zoomScaleNormal="107" workbookViewId="0">
      <selection activeCell="B29" sqref="B29:D29"/>
    </sheetView>
  </sheetViews>
  <sheetFormatPr defaultRowHeight="14.4"/>
  <cols>
    <col min="1" max="1" width="26.21875" customWidth="1"/>
    <col min="2" max="2" width="11.77734375" customWidth="1"/>
    <col min="12" max="12" width="43.21875" bestFit="1" customWidth="1"/>
  </cols>
  <sheetData>
    <row r="1" spans="1:72" ht="18">
      <c r="A1" s="35"/>
      <c r="B1" s="35"/>
      <c r="C1" s="2"/>
      <c r="D1" s="1"/>
      <c r="E1" s="1"/>
      <c r="F1" s="1"/>
    </row>
    <row r="2" spans="1:72">
      <c r="A2" s="17"/>
      <c r="B2" s="17"/>
      <c r="K2" s="6" t="s">
        <v>21</v>
      </c>
      <c r="L2" s="6" t="s">
        <v>30</v>
      </c>
    </row>
    <row r="3" spans="1:72">
      <c r="K3" s="9" t="s">
        <v>26</v>
      </c>
      <c r="L3" s="9" t="s">
        <v>22</v>
      </c>
    </row>
    <row r="4" spans="1:72">
      <c r="K4" s="10" t="s">
        <v>25</v>
      </c>
      <c r="L4" s="10" t="s">
        <v>23</v>
      </c>
    </row>
    <row r="5" spans="1:72">
      <c r="K5" s="11" t="s">
        <v>24</v>
      </c>
      <c r="L5" s="11" t="s">
        <v>27</v>
      </c>
    </row>
    <row r="6" spans="1:72">
      <c r="K6" s="12" t="s">
        <v>28</v>
      </c>
      <c r="L6" s="12" t="s">
        <v>29</v>
      </c>
    </row>
    <row r="8" spans="1:72" ht="18">
      <c r="A8" s="35" t="s">
        <v>31</v>
      </c>
      <c r="B8" s="35"/>
    </row>
    <row r="10" spans="1:72" ht="409.6">
      <c r="A10" s="45" t="s">
        <v>32</v>
      </c>
      <c r="B10" s="45"/>
      <c r="C10" s="45"/>
      <c r="D10" s="45"/>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row>
    <row r="12" spans="1:72" ht="15.6">
      <c r="A12" s="46" t="s">
        <v>70</v>
      </c>
      <c r="B12" s="46" t="s">
        <v>64</v>
      </c>
      <c r="C12" s="46" t="s">
        <v>65</v>
      </c>
      <c r="D12" s="46" t="s">
        <v>121</v>
      </c>
    </row>
    <row r="13" spans="1:72">
      <c r="A13" s="47" t="s">
        <v>61</v>
      </c>
      <c r="B13" s="48">
        <v>0.12</v>
      </c>
      <c r="C13" s="48">
        <v>0.1</v>
      </c>
      <c r="D13" s="48">
        <v>0.1</v>
      </c>
    </row>
    <row r="14" spans="1:72">
      <c r="A14" s="47" t="s">
        <v>71</v>
      </c>
      <c r="B14" s="49">
        <v>46</v>
      </c>
      <c r="C14" s="49">
        <v>48</v>
      </c>
      <c r="D14" s="49">
        <v>50</v>
      </c>
    </row>
    <row r="15" spans="1:72">
      <c r="A15" s="47" t="s">
        <v>72</v>
      </c>
      <c r="B15" s="48">
        <v>0.52</v>
      </c>
      <c r="C15" s="48">
        <v>0.52</v>
      </c>
      <c r="D15" s="48">
        <v>0.51</v>
      </c>
    </row>
    <row r="16" spans="1:72">
      <c r="A16" s="47" t="s">
        <v>73</v>
      </c>
      <c r="B16" s="50">
        <v>6.2E-2</v>
      </c>
      <c r="C16" s="50">
        <v>6.5000000000000002E-2</v>
      </c>
      <c r="D16" s="50">
        <v>6.5000000000000002E-2</v>
      </c>
    </row>
    <row r="17" spans="1:4">
      <c r="A17" s="47" t="s">
        <v>74</v>
      </c>
      <c r="B17" s="49">
        <v>2</v>
      </c>
      <c r="C17" s="49">
        <v>2</v>
      </c>
      <c r="D17" s="49">
        <v>2</v>
      </c>
    </row>
    <row r="18" spans="1:4">
      <c r="A18" s="47" t="s">
        <v>75</v>
      </c>
      <c r="B18" s="49">
        <v>95</v>
      </c>
      <c r="C18" s="49">
        <v>105</v>
      </c>
      <c r="D18" s="49">
        <v>112</v>
      </c>
    </row>
    <row r="19" spans="1:4">
      <c r="A19" s="47" t="s">
        <v>76</v>
      </c>
      <c r="B19" s="48">
        <v>0.14499999999999999</v>
      </c>
      <c r="C19" s="48">
        <v>0.14000000000000001</v>
      </c>
      <c r="D19" s="48">
        <v>0.14000000000000001</v>
      </c>
    </row>
    <row r="20" spans="1:4">
      <c r="A20" s="47" t="s">
        <v>77</v>
      </c>
      <c r="B20" s="48">
        <v>0.24</v>
      </c>
      <c r="C20" s="48">
        <v>0.24</v>
      </c>
      <c r="D20" s="48">
        <v>0.24</v>
      </c>
    </row>
    <row r="22" spans="1:4" ht="18">
      <c r="A22" s="58" t="s">
        <v>119</v>
      </c>
      <c r="B22" s="42"/>
    </row>
    <row r="24" spans="1:4">
      <c r="A24" s="59" t="s">
        <v>70</v>
      </c>
      <c r="B24" s="59" t="s">
        <v>64</v>
      </c>
      <c r="C24" s="59" t="s">
        <v>65</v>
      </c>
      <c r="D24" s="59" t="s">
        <v>121</v>
      </c>
    </row>
    <row r="25" spans="1:4">
      <c r="A25" s="47" t="s">
        <v>122</v>
      </c>
      <c r="B25" s="49">
        <v>300</v>
      </c>
      <c r="C25" s="49">
        <v>200</v>
      </c>
      <c r="D25" s="49">
        <v>150</v>
      </c>
    </row>
    <row r="26" spans="1:4">
      <c r="A26" s="47" t="s">
        <v>123</v>
      </c>
      <c r="B26" s="49">
        <v>88</v>
      </c>
      <c r="C26" s="49">
        <v>85</v>
      </c>
      <c r="D26" s="49">
        <v>82</v>
      </c>
    </row>
    <row r="27" spans="1:4">
      <c r="A27" s="47" t="s">
        <v>124</v>
      </c>
      <c r="B27" s="49">
        <v>70</v>
      </c>
      <c r="C27" s="49">
        <v>68</v>
      </c>
      <c r="D27" s="49">
        <v>65</v>
      </c>
    </row>
    <row r="28" spans="1:4">
      <c r="A28" s="47" t="s">
        <v>125</v>
      </c>
      <c r="B28" s="49">
        <v>42</v>
      </c>
      <c r="C28" s="49">
        <v>44</v>
      </c>
      <c r="D28" s="49">
        <v>45</v>
      </c>
    </row>
    <row r="29" spans="1:4">
      <c r="A29" s="47" t="s">
        <v>126</v>
      </c>
      <c r="B29" s="48">
        <v>0.2</v>
      </c>
      <c r="C29" s="48">
        <v>0.2</v>
      </c>
      <c r="D29" s="48">
        <v>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2D7F0-4049-4D9D-B048-1B0EFC89B6D2}">
  <dimension ref="A1:L28"/>
  <sheetViews>
    <sheetView topLeftCell="A2" workbookViewId="0">
      <selection activeCell="H22" sqref="H22"/>
    </sheetView>
  </sheetViews>
  <sheetFormatPr defaultRowHeight="14.4"/>
  <cols>
    <col min="1" max="1" width="25.88671875" customWidth="1"/>
    <col min="2" max="2" width="13.88671875" customWidth="1"/>
    <col min="3" max="3" width="12.109375" customWidth="1"/>
    <col min="4" max="4" width="9.21875" customWidth="1"/>
    <col min="8" max="9" width="9.5546875" bestFit="1" customWidth="1"/>
    <col min="10" max="10" width="12.6640625" customWidth="1"/>
    <col min="12" max="12" width="43.21875" bestFit="1" customWidth="1"/>
  </cols>
  <sheetData>
    <row r="1" spans="1:12" ht="21">
      <c r="A1" s="34" t="s">
        <v>62</v>
      </c>
      <c r="B1" s="34"/>
      <c r="C1" s="34"/>
      <c r="D1" s="34"/>
      <c r="E1" s="1"/>
      <c r="F1" s="1"/>
      <c r="I1" s="35"/>
      <c r="J1" s="35"/>
      <c r="K1" s="8" t="s">
        <v>20</v>
      </c>
      <c r="L1" s="8"/>
    </row>
    <row r="2" spans="1:12" ht="18">
      <c r="A2" s="35" t="s">
        <v>63</v>
      </c>
      <c r="B2" s="31"/>
      <c r="I2" s="17"/>
      <c r="J2" s="17"/>
      <c r="K2" s="36" t="s">
        <v>21</v>
      </c>
      <c r="L2" s="6" t="s">
        <v>30</v>
      </c>
    </row>
    <row r="3" spans="1:12" ht="15.6">
      <c r="A3" s="41" t="s">
        <v>34</v>
      </c>
      <c r="B3" s="41" t="s">
        <v>35</v>
      </c>
      <c r="C3" s="41" t="s">
        <v>36</v>
      </c>
      <c r="D3" s="41" t="s">
        <v>37</v>
      </c>
      <c r="E3" s="41" t="s">
        <v>38</v>
      </c>
      <c r="F3" s="41" t="s">
        <v>39</v>
      </c>
      <c r="G3" s="41" t="s">
        <v>120</v>
      </c>
      <c r="H3" s="41" t="s">
        <v>64</v>
      </c>
      <c r="I3" s="41" t="s">
        <v>65</v>
      </c>
      <c r="J3" s="41" t="s">
        <v>121</v>
      </c>
      <c r="K3" s="37" t="s">
        <v>26</v>
      </c>
      <c r="L3" s="9" t="s">
        <v>22</v>
      </c>
    </row>
    <row r="4" spans="1:12">
      <c r="A4" s="42" t="s">
        <v>40</v>
      </c>
      <c r="B4" s="33"/>
      <c r="K4" s="38" t="s">
        <v>25</v>
      </c>
      <c r="L4" s="10" t="s">
        <v>23</v>
      </c>
    </row>
    <row r="5" spans="1:12">
      <c r="A5" t="s">
        <v>66</v>
      </c>
      <c r="B5" s="43">
        <f>'Raw Data'!B4</f>
        <v>1028.8699999999999</v>
      </c>
      <c r="C5" s="43">
        <f>'Raw Data'!C4</f>
        <v>954.26</v>
      </c>
      <c r="D5" s="43">
        <f>'Raw Data'!D4</f>
        <v>1615.51</v>
      </c>
      <c r="E5" s="43">
        <f>'Raw Data'!E4</f>
        <v>2072.6999999999998</v>
      </c>
      <c r="F5" s="43">
        <f>'Raw Data'!F4</f>
        <v>1900</v>
      </c>
      <c r="G5" s="62">
        <f>'Raw Data'!G4</f>
        <v>2248.1</v>
      </c>
      <c r="H5" s="57">
        <f>G5*(1+'Assumption '!B13)</f>
        <v>2517.8720000000003</v>
      </c>
      <c r="I5" s="57">
        <f>H5*(1+'Assumption '!C13)</f>
        <v>2769.6592000000005</v>
      </c>
      <c r="J5" s="57">
        <f>I5*(1+'Assumption '!D13)</f>
        <v>3046.6251200000006</v>
      </c>
      <c r="K5" s="39" t="s">
        <v>24</v>
      </c>
      <c r="L5" s="11" t="s">
        <v>27</v>
      </c>
    </row>
    <row r="6" spans="1:12" ht="12" customHeight="1">
      <c r="A6" t="s">
        <v>67</v>
      </c>
      <c r="B6" s="32"/>
      <c r="H6" s="28">
        <f>ROUND((H5-G5)/G5*100,1)</f>
        <v>12</v>
      </c>
      <c r="I6" s="28">
        <f t="shared" ref="I6:J6" si="0">ROUND((I5-H5)/H5*100,1)</f>
        <v>10</v>
      </c>
      <c r="J6" s="28">
        <f t="shared" si="0"/>
        <v>10</v>
      </c>
      <c r="K6" s="40" t="s">
        <v>28</v>
      </c>
      <c r="L6" s="12" t="s">
        <v>29</v>
      </c>
    </row>
    <row r="7" spans="1:12">
      <c r="A7" t="s">
        <v>68</v>
      </c>
      <c r="B7" s="44">
        <f>'Raw Data'!B5</f>
        <v>44.99</v>
      </c>
      <c r="C7" s="44">
        <f>'Raw Data'!C5</f>
        <v>25.86</v>
      </c>
      <c r="D7" s="44">
        <f>'Raw Data'!D5</f>
        <v>60.96</v>
      </c>
      <c r="E7" s="44">
        <f>'Raw Data'!E5</f>
        <v>52.4</v>
      </c>
      <c r="F7" s="44">
        <f>'Raw Data'!F5</f>
        <v>38.799999999999997</v>
      </c>
      <c r="G7" s="43">
        <f>'Raw Data'!G5</f>
        <v>44.29</v>
      </c>
      <c r="H7" s="28">
        <f>'Assumption '!B14</f>
        <v>46</v>
      </c>
      <c r="I7" s="28">
        <f>'Assumption '!C14</f>
        <v>48</v>
      </c>
      <c r="J7" s="28">
        <f>'Assumption '!D14</f>
        <v>50</v>
      </c>
    </row>
    <row r="8" spans="1:12">
      <c r="A8" s="18" t="s">
        <v>41</v>
      </c>
      <c r="B8" s="28">
        <f>B5+B7</f>
        <v>1073.8599999999999</v>
      </c>
      <c r="C8" s="28">
        <f t="shared" ref="C8:F8" si="1">C5+C7</f>
        <v>980.12</v>
      </c>
      <c r="D8" s="28">
        <f t="shared" si="1"/>
        <v>1676.47</v>
      </c>
      <c r="E8" s="28">
        <f t="shared" si="1"/>
        <v>2125.1</v>
      </c>
      <c r="F8" s="28">
        <f t="shared" si="1"/>
        <v>1938.8</v>
      </c>
      <c r="G8" s="57">
        <f>G5+G7</f>
        <v>2292.39</v>
      </c>
      <c r="H8" s="57">
        <f>H5+H7</f>
        <v>2563.8720000000003</v>
      </c>
      <c r="I8" s="57">
        <f t="shared" ref="I8:J8" si="2">I5+I7</f>
        <v>2817.6592000000005</v>
      </c>
      <c r="J8" s="57">
        <f t="shared" si="2"/>
        <v>3096.6251200000006</v>
      </c>
    </row>
    <row r="10" spans="1:12">
      <c r="A10" s="42" t="s">
        <v>42</v>
      </c>
    </row>
    <row r="11" spans="1:12">
      <c r="A11" t="s">
        <v>43</v>
      </c>
      <c r="B11" s="43">
        <f>'Raw Data'!B9</f>
        <v>0</v>
      </c>
      <c r="C11" s="43">
        <f>'Raw Data'!C9</f>
        <v>0</v>
      </c>
      <c r="D11" s="43">
        <f>'Raw Data'!D9</f>
        <v>0</v>
      </c>
      <c r="E11" s="43">
        <f>'Raw Data'!E9</f>
        <v>1077.9000000000001</v>
      </c>
      <c r="F11" s="43">
        <f>'Raw Data'!F9</f>
        <v>1010.2</v>
      </c>
      <c r="G11" s="62">
        <f>'Raw Data'!G9</f>
        <v>1182.29</v>
      </c>
      <c r="H11" s="28">
        <f>H5*'Assumption '!B15</f>
        <v>1309.2934400000001</v>
      </c>
      <c r="I11" s="28">
        <f>I5*'Assumption '!C15</f>
        <v>1440.2227840000003</v>
      </c>
      <c r="J11" s="28">
        <f>J5*'Assumption '!D15</f>
        <v>1553.7788112000003</v>
      </c>
    </row>
    <row r="12" spans="1:12">
      <c r="A12" t="s">
        <v>44</v>
      </c>
      <c r="B12" s="43"/>
      <c r="C12" s="43"/>
      <c r="D12" s="43"/>
      <c r="E12" s="43">
        <f>'Raw Data'!E10</f>
        <v>0.6</v>
      </c>
      <c r="F12" s="43">
        <f>'Raw Data'!F10</f>
        <v>0</v>
      </c>
      <c r="G12" s="43">
        <f>'Raw Data'!G10</f>
        <v>0</v>
      </c>
    </row>
    <row r="13" spans="1:12">
      <c r="A13" t="s">
        <v>45</v>
      </c>
      <c r="B13" s="43"/>
      <c r="C13" s="43"/>
      <c r="D13" s="43"/>
      <c r="E13" s="43">
        <f>'Raw Data'!E11</f>
        <v>-4</v>
      </c>
      <c r="F13" s="43">
        <f>'Raw Data'!F11</f>
        <v>1.1000000000000001</v>
      </c>
      <c r="G13" s="43">
        <f>'Raw Data'!G11</f>
        <v>14.08</v>
      </c>
    </row>
    <row r="14" spans="1:12">
      <c r="A14" t="s">
        <v>46</v>
      </c>
      <c r="B14" s="43">
        <f>'Raw Data'!B12</f>
        <v>0</v>
      </c>
      <c r="C14" s="43">
        <f>'Raw Data'!C12</f>
        <v>0</v>
      </c>
      <c r="D14" s="43">
        <f>'Raw Data'!D12</f>
        <v>0</v>
      </c>
      <c r="E14" s="43">
        <f>'Raw Data'!E12</f>
        <v>99.6</v>
      </c>
      <c r="F14" s="43">
        <f>'Raw Data'!F12</f>
        <v>118.9</v>
      </c>
      <c r="G14" s="43">
        <f>'Raw Data'!G12</f>
        <v>137.99</v>
      </c>
      <c r="H14" s="28">
        <f>H5*'Assumption '!B16</f>
        <v>156.10806400000001</v>
      </c>
      <c r="I14" s="28">
        <f>I5*'Assumption '!C16</f>
        <v>180.02784800000003</v>
      </c>
      <c r="J14" s="28">
        <f>J5*'Assumption '!D16</f>
        <v>198.03063280000003</v>
      </c>
    </row>
    <row r="15" spans="1:12">
      <c r="A15" t="s">
        <v>47</v>
      </c>
      <c r="B15" s="43">
        <f>'Raw Data'!B13</f>
        <v>2.04</v>
      </c>
      <c r="C15" s="43">
        <f>'Raw Data'!C13</f>
        <v>0.95</v>
      </c>
      <c r="D15" s="43">
        <f>'Raw Data'!D13</f>
        <v>1.65</v>
      </c>
      <c r="E15" s="43">
        <f>'Raw Data'!E13</f>
        <v>1.4</v>
      </c>
      <c r="F15" s="43">
        <f>'Raw Data'!F13</f>
        <v>3.6</v>
      </c>
      <c r="G15" s="43">
        <f>'Raw Data'!G13</f>
        <v>0.52</v>
      </c>
      <c r="H15" s="28">
        <f>'Assumption '!B17</f>
        <v>2</v>
      </c>
      <c r="I15" s="28">
        <f>'Assumption '!C17</f>
        <v>2</v>
      </c>
      <c r="J15" s="28">
        <f>'Assumption '!D17</f>
        <v>2</v>
      </c>
    </row>
    <row r="16" spans="1:12">
      <c r="A16" t="s">
        <v>48</v>
      </c>
      <c r="B16" s="43">
        <f>'Raw Data'!B14</f>
        <v>33.159999999999997</v>
      </c>
      <c r="C16" s="43">
        <f>'Raw Data'!C14</f>
        <v>42.91</v>
      </c>
      <c r="D16" s="43">
        <f>'Raw Data'!D14</f>
        <v>45.49</v>
      </c>
      <c r="E16" s="43">
        <f>'Raw Data'!E14</f>
        <v>59</v>
      </c>
      <c r="F16" s="43">
        <f>'Raw Data'!F14</f>
        <v>72.8</v>
      </c>
      <c r="G16" s="43">
        <f>'Raw Data'!G14</f>
        <v>80.75</v>
      </c>
      <c r="H16" s="28">
        <f>'Assumption '!B18</f>
        <v>95</v>
      </c>
      <c r="I16" s="28">
        <f>'Assumption '!C18</f>
        <v>105</v>
      </c>
      <c r="J16" s="28">
        <f>'Assumption '!D18</f>
        <v>112</v>
      </c>
    </row>
    <row r="17" spans="1:10">
      <c r="A17" t="s">
        <v>49</v>
      </c>
      <c r="B17" s="43">
        <f>'Raw Data'!B15</f>
        <v>0</v>
      </c>
      <c r="C17" s="43">
        <f>'Raw Data'!C15</f>
        <v>0</v>
      </c>
      <c r="D17" s="43">
        <f>'Raw Data'!D15</f>
        <v>0</v>
      </c>
      <c r="E17" s="43">
        <f>'Raw Data'!E15</f>
        <v>327.39999999999998</v>
      </c>
      <c r="F17" s="43">
        <f>'Raw Data'!F15</f>
        <v>299.60000000000002</v>
      </c>
      <c r="G17" s="43">
        <f>'Raw Data'!G15</f>
        <v>328.53</v>
      </c>
      <c r="H17" s="28">
        <f>H5*'Assumption '!B19</f>
        <v>365.09144000000003</v>
      </c>
      <c r="I17" s="28">
        <f>I5*'Assumption '!C19</f>
        <v>387.75228800000014</v>
      </c>
      <c r="J17" s="28">
        <f>J5*'Assumption '!D19</f>
        <v>426.52751680000011</v>
      </c>
    </row>
    <row r="18" spans="1:10">
      <c r="A18" s="18" t="s">
        <v>50</v>
      </c>
      <c r="B18" s="28">
        <f>SUM(B11:B17)</f>
        <v>35.199999999999996</v>
      </c>
      <c r="C18" s="28">
        <f t="shared" ref="C18:F18" si="3">SUM(C11:C17)</f>
        <v>43.86</v>
      </c>
      <c r="D18" s="28">
        <f t="shared" si="3"/>
        <v>47.14</v>
      </c>
      <c r="E18" s="28">
        <f t="shared" si="3"/>
        <v>1561.9</v>
      </c>
      <c r="F18" s="28">
        <f t="shared" si="3"/>
        <v>1506.1999999999998</v>
      </c>
      <c r="G18" s="57">
        <f>SUM(G11:G17)</f>
        <v>1744.1599999999999</v>
      </c>
      <c r="H18" s="28">
        <f>SUM(H11:H17)</f>
        <v>1927.4929440000001</v>
      </c>
      <c r="I18" s="28">
        <f t="shared" ref="I18:J18" si="4">SUM(I11:I17)</f>
        <v>2115.0029200000004</v>
      </c>
      <c r="J18" s="28">
        <f t="shared" si="4"/>
        <v>2292.3369608000007</v>
      </c>
    </row>
    <row r="20" spans="1:10">
      <c r="A20" t="s">
        <v>51</v>
      </c>
      <c r="B20" s="43">
        <f>'Raw Data'!B17</f>
        <v>1038.6599999999999</v>
      </c>
      <c r="C20" s="43">
        <f>'Raw Data'!C17</f>
        <v>936.26</v>
      </c>
      <c r="D20" s="43">
        <f>'Raw Data'!D17</f>
        <v>1629.33</v>
      </c>
      <c r="E20" s="43">
        <f>'Raw Data'!E17</f>
        <v>563.19999999999982</v>
      </c>
      <c r="F20" s="43">
        <f>'Raw Data'!F17</f>
        <v>432.5</v>
      </c>
      <c r="G20" s="62">
        <f>G8-G18</f>
        <v>548.23</v>
      </c>
      <c r="H20" s="57">
        <f>H8-H18</f>
        <v>636.37905600000022</v>
      </c>
      <c r="I20" s="57">
        <f t="shared" ref="I20:J20" si="5">I8-I18</f>
        <v>702.65628000000015</v>
      </c>
      <c r="J20" s="57">
        <f t="shared" si="5"/>
        <v>804.28815919999988</v>
      </c>
    </row>
    <row r="21" spans="1:10">
      <c r="A21" t="s">
        <v>52</v>
      </c>
      <c r="B21" s="43">
        <f>'Raw Data'!B18</f>
        <v>90.84</v>
      </c>
      <c r="C21" s="43">
        <f>'Raw Data'!C18</f>
        <v>65.91</v>
      </c>
      <c r="D21" s="43">
        <f>'Raw Data'!D18</f>
        <v>102.63</v>
      </c>
      <c r="E21" s="43">
        <f>'Raw Data'!E18</f>
        <v>144</v>
      </c>
      <c r="F21" s="43">
        <f>'Raw Data'!F18</f>
        <v>109.1</v>
      </c>
      <c r="G21" s="43">
        <f>'Raw Data'!G18</f>
        <v>133</v>
      </c>
      <c r="H21" s="28">
        <f>H20*'Assumption '!B20</f>
        <v>152.73097344000004</v>
      </c>
      <c r="I21" s="28">
        <f>I20*'Assumption '!C20</f>
        <v>168.63750720000004</v>
      </c>
      <c r="J21" s="28">
        <f>J20*'Assumption '!D20</f>
        <v>193.02915820799996</v>
      </c>
    </row>
    <row r="22" spans="1:10">
      <c r="A22" s="18" t="s">
        <v>69</v>
      </c>
      <c r="B22" s="28">
        <f>B20-B21</f>
        <v>947.81999999999982</v>
      </c>
      <c r="C22" s="28">
        <f t="shared" ref="C22:F22" si="6">C20-C21</f>
        <v>870.35</v>
      </c>
      <c r="D22" s="28">
        <f t="shared" si="6"/>
        <v>1526.6999999999998</v>
      </c>
      <c r="E22" s="28">
        <f t="shared" si="6"/>
        <v>419.19999999999982</v>
      </c>
      <c r="F22" s="28">
        <f t="shared" si="6"/>
        <v>323.39999999999998</v>
      </c>
      <c r="G22" s="57">
        <f>G20-G21</f>
        <v>415.23</v>
      </c>
      <c r="H22" s="57">
        <f>H20-H21</f>
        <v>483.64808256000015</v>
      </c>
      <c r="I22" s="57">
        <f t="shared" ref="I22:J22" si="7">I20-I21</f>
        <v>534.01877280000008</v>
      </c>
      <c r="J22" s="57">
        <f t="shared" si="7"/>
        <v>611.25900099199998</v>
      </c>
    </row>
    <row r="24" spans="1:10">
      <c r="A24" s="18" t="s">
        <v>54</v>
      </c>
    </row>
    <row r="25" spans="1:10">
      <c r="A25" t="s">
        <v>55</v>
      </c>
      <c r="B25" s="28">
        <f>B20+B16+B15</f>
        <v>1073.8599999999999</v>
      </c>
      <c r="C25" s="28">
        <f t="shared" ref="C25:F25" si="8">C20+C16+C15</f>
        <v>980.12</v>
      </c>
      <c r="D25" s="28">
        <f t="shared" si="8"/>
        <v>1676.47</v>
      </c>
      <c r="E25" s="28">
        <f t="shared" si="8"/>
        <v>623.5999999999998</v>
      </c>
      <c r="F25" s="28">
        <f t="shared" si="8"/>
        <v>508.90000000000003</v>
      </c>
      <c r="G25" s="57">
        <f>G20+G16+G15</f>
        <v>629.5</v>
      </c>
      <c r="H25" s="57">
        <f>H20+H16+H15</f>
        <v>733.37905600000022</v>
      </c>
      <c r="I25" s="57">
        <f t="shared" ref="I25:J25" si="9">I20+I16+I15</f>
        <v>809.65628000000015</v>
      </c>
      <c r="J25" s="57">
        <f t="shared" si="9"/>
        <v>918.28815919999988</v>
      </c>
    </row>
    <row r="26" spans="1:10">
      <c r="A26" t="s">
        <v>56</v>
      </c>
      <c r="B26" s="51">
        <f>'Raw Data'!B23</f>
        <v>104.4</v>
      </c>
      <c r="C26" s="51">
        <f>'Raw Data'!C23</f>
        <v>102.7</v>
      </c>
      <c r="D26" s="51">
        <f>'Raw Data'!D23</f>
        <v>103.8</v>
      </c>
      <c r="E26" s="51">
        <f>'Raw Data'!E23</f>
        <v>30.1</v>
      </c>
      <c r="F26" s="51">
        <f>'Raw Data'!F23</f>
        <v>26.8</v>
      </c>
      <c r="G26" s="51">
        <f>'Raw Data'!G23</f>
        <v>28</v>
      </c>
      <c r="H26" s="28">
        <f>ROUND(H25/H5*100,1)</f>
        <v>29.1</v>
      </c>
      <c r="I26" s="28">
        <f t="shared" ref="I26:J26" si="10">ROUND(I25/I5*100,1)</f>
        <v>29.2</v>
      </c>
      <c r="J26" s="28">
        <f t="shared" si="10"/>
        <v>30.1</v>
      </c>
    </row>
    <row r="27" spans="1:10">
      <c r="A27" t="s">
        <v>57</v>
      </c>
      <c r="B27" s="43">
        <f>'Raw Data'!B24</f>
        <v>92.1</v>
      </c>
      <c r="C27" s="43">
        <f>'Raw Data'!C24</f>
        <v>91.2</v>
      </c>
      <c r="D27" s="43">
        <f>'Raw Data'!D24</f>
        <v>94.5</v>
      </c>
      <c r="E27" s="43">
        <f>'Raw Data'!E24</f>
        <v>20.2</v>
      </c>
      <c r="F27" s="43">
        <f>'Raw Data'!F24</f>
        <v>17</v>
      </c>
      <c r="G27" s="43">
        <f>'Raw Data'!G24</f>
        <v>18.5</v>
      </c>
      <c r="H27" s="28">
        <f>ROUND(H22/H5*100,1)</f>
        <v>19.2</v>
      </c>
      <c r="I27" s="28">
        <f t="shared" ref="I27:J27" si="11">ROUND(I22/I5*100,1)</f>
        <v>19.3</v>
      </c>
      <c r="J27" s="28">
        <f t="shared" si="11"/>
        <v>20.100000000000001</v>
      </c>
    </row>
    <row r="28" spans="1:10">
      <c r="A28" t="s">
        <v>60</v>
      </c>
      <c r="B28" s="44">
        <f>'Raw Data'!B25</f>
        <v>32.47</v>
      </c>
      <c r="C28" s="44">
        <f>'Raw Data'!C25</f>
        <v>26.2</v>
      </c>
      <c r="D28" s="44">
        <f>'Raw Data'!D25</f>
        <v>33.72</v>
      </c>
      <c r="E28" s="44">
        <f>'Raw Data'!E25</f>
        <v>40.43</v>
      </c>
      <c r="F28" s="44">
        <f>'Raw Data'!F25</f>
        <v>31.2</v>
      </c>
      <c r="G28" s="44">
        <f>'Raw Data'!G25</f>
        <v>40.049999999999997</v>
      </c>
      <c r="H28" s="68">
        <f>H22/10.37</f>
        <v>46.639159359691433</v>
      </c>
      <c r="I28" s="68">
        <f t="shared" ref="I28:J28" si="12">I22/10.37</f>
        <v>51.496506538090657</v>
      </c>
      <c r="J28" s="68">
        <f t="shared" si="12"/>
        <v>58.944937414850536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447C6-3C61-4C1F-ACCF-F4D6CB4943DC}">
  <dimension ref="A1:M52"/>
  <sheetViews>
    <sheetView topLeftCell="A10" zoomScale="102" zoomScaleNormal="102" workbookViewId="0">
      <selection activeCell="L19" sqref="L19"/>
    </sheetView>
  </sheetViews>
  <sheetFormatPr defaultRowHeight="14.4"/>
  <cols>
    <col min="1" max="1" width="29.21875" customWidth="1"/>
    <col min="2" max="2" width="12.33203125" customWidth="1"/>
    <col min="5" max="5" width="9.21875" customWidth="1"/>
    <col min="7" max="7" width="10.109375" customWidth="1"/>
    <col min="8" max="8" width="10.33203125" customWidth="1"/>
    <col min="9" max="9" width="10" customWidth="1"/>
    <col min="10" max="10" width="10.33203125" bestFit="1" customWidth="1"/>
    <col min="13" max="13" width="43.21875" bestFit="1" customWidth="1"/>
  </cols>
  <sheetData>
    <row r="1" spans="1:13" ht="25.8">
      <c r="A1" s="54" t="s">
        <v>78</v>
      </c>
      <c r="B1" s="55"/>
      <c r="C1" s="55"/>
      <c r="D1" s="55"/>
    </row>
    <row r="2" spans="1:13" ht="18">
      <c r="A2" s="35" t="s">
        <v>63</v>
      </c>
    </row>
    <row r="4" spans="1:13" ht="18">
      <c r="A4" s="56" t="s">
        <v>34</v>
      </c>
      <c r="B4" s="56" t="s">
        <v>35</v>
      </c>
      <c r="C4" s="56" t="s">
        <v>36</v>
      </c>
      <c r="D4" s="56" t="s">
        <v>37</v>
      </c>
      <c r="E4" s="56" t="s">
        <v>38</v>
      </c>
      <c r="F4" s="56" t="s">
        <v>39</v>
      </c>
      <c r="G4" s="56" t="s">
        <v>120</v>
      </c>
      <c r="H4" s="56" t="s">
        <v>64</v>
      </c>
      <c r="I4" s="56" t="s">
        <v>65</v>
      </c>
      <c r="J4" s="56" t="s">
        <v>121</v>
      </c>
    </row>
    <row r="5" spans="1:13">
      <c r="A5" s="18" t="s">
        <v>79</v>
      </c>
      <c r="E5" s="20"/>
    </row>
    <row r="6" spans="1:13" ht="18">
      <c r="A6" s="18" t="s">
        <v>80</v>
      </c>
      <c r="B6" s="35"/>
      <c r="C6" s="52"/>
      <c r="D6" s="53"/>
      <c r="L6" s="8" t="s">
        <v>20</v>
      </c>
      <c r="M6" s="8"/>
    </row>
    <row r="7" spans="1:13">
      <c r="A7" t="s">
        <v>81</v>
      </c>
      <c r="B7" s="17"/>
      <c r="E7" s="19">
        <v>1157.79</v>
      </c>
      <c r="F7" s="19">
        <v>1328.9</v>
      </c>
      <c r="G7" s="19">
        <v>1381.47</v>
      </c>
      <c r="H7" s="69">
        <f>G7+'Assumption '!B25-'P&amp;L'!H16</f>
        <v>1586.47</v>
      </c>
      <c r="I7" s="69">
        <f>H7+'Assumption '!C25-'P&amp;L'!I16</f>
        <v>1681.47</v>
      </c>
      <c r="J7" s="69">
        <f>I7+'Assumption '!D25-'P&amp;L'!J16</f>
        <v>1719.47</v>
      </c>
      <c r="L7" s="6" t="s">
        <v>21</v>
      </c>
      <c r="M7" s="6" t="s">
        <v>30</v>
      </c>
    </row>
    <row r="8" spans="1:13">
      <c r="A8" t="s">
        <v>82</v>
      </c>
      <c r="E8" s="21">
        <v>229</v>
      </c>
      <c r="F8" s="21">
        <v>246.1</v>
      </c>
      <c r="G8" s="21">
        <v>298.48</v>
      </c>
      <c r="H8" s="70">
        <v>298.48</v>
      </c>
      <c r="I8" s="70">
        <v>298.48</v>
      </c>
      <c r="J8" s="70">
        <v>298.48</v>
      </c>
      <c r="L8" s="9" t="s">
        <v>26</v>
      </c>
      <c r="M8" s="9" t="s">
        <v>22</v>
      </c>
    </row>
    <row r="9" spans="1:13">
      <c r="A9" t="s">
        <v>83</v>
      </c>
      <c r="E9" s="21">
        <v>1</v>
      </c>
      <c r="F9" s="21">
        <v>0.7</v>
      </c>
      <c r="G9" s="21">
        <v>0.44</v>
      </c>
      <c r="H9" s="70">
        <v>0.44</v>
      </c>
      <c r="I9" s="70">
        <v>0.44</v>
      </c>
      <c r="J9" s="70">
        <v>0.44</v>
      </c>
      <c r="L9" s="10" t="s">
        <v>25</v>
      </c>
      <c r="M9" s="10" t="s">
        <v>23</v>
      </c>
    </row>
    <row r="10" spans="1:13">
      <c r="A10" t="s">
        <v>84</v>
      </c>
      <c r="E10" s="21">
        <v>61.5</v>
      </c>
      <c r="F10" s="21">
        <v>212.4</v>
      </c>
      <c r="G10" s="21">
        <v>513.25</v>
      </c>
      <c r="H10" s="70">
        <v>513.25</v>
      </c>
      <c r="I10" s="70">
        <v>513.25</v>
      </c>
      <c r="J10" s="70">
        <v>513.25</v>
      </c>
      <c r="L10" s="11" t="s">
        <v>24</v>
      </c>
      <c r="M10" s="11" t="s">
        <v>27</v>
      </c>
    </row>
    <row r="11" spans="1:13">
      <c r="A11" t="s">
        <v>109</v>
      </c>
      <c r="E11" s="21">
        <v>0.9</v>
      </c>
      <c r="F11" s="21">
        <v>29.4</v>
      </c>
      <c r="G11" s="21">
        <v>62.21</v>
      </c>
      <c r="H11" s="70">
        <v>62.21</v>
      </c>
      <c r="I11" s="70">
        <v>62.21</v>
      </c>
      <c r="J11" s="70">
        <v>62.21</v>
      </c>
      <c r="L11" s="11"/>
      <c r="M11" s="11"/>
    </row>
    <row r="12" spans="1:13">
      <c r="A12" t="s">
        <v>85</v>
      </c>
      <c r="E12" s="21">
        <v>72</v>
      </c>
      <c r="F12" s="21">
        <v>40.4</v>
      </c>
      <c r="G12" s="21">
        <v>38.369999999999997</v>
      </c>
      <c r="H12" s="70">
        <v>38.369999999999997</v>
      </c>
      <c r="I12" s="70">
        <v>38.369999999999997</v>
      </c>
      <c r="J12" s="70">
        <v>38.369999999999997</v>
      </c>
      <c r="L12" s="12" t="s">
        <v>28</v>
      </c>
      <c r="M12" s="12" t="s">
        <v>29</v>
      </c>
    </row>
    <row r="13" spans="1:13">
      <c r="A13" s="18" t="s">
        <v>86</v>
      </c>
      <c r="E13" s="57">
        <f>SUM(E7:E12)</f>
        <v>1522.19</v>
      </c>
      <c r="F13" s="57">
        <f>SUM(F7:F12)</f>
        <v>1857.9000000000003</v>
      </c>
      <c r="G13" s="57">
        <f>SUM(G7:G12)</f>
        <v>2294.2200000000003</v>
      </c>
      <c r="H13" s="69">
        <f t="shared" ref="H13:J13" si="0">SUM(H7:H12)</f>
        <v>2499.2200000000003</v>
      </c>
      <c r="I13" s="69">
        <f t="shared" si="0"/>
        <v>2594.2200000000003</v>
      </c>
      <c r="J13" s="69">
        <f t="shared" si="0"/>
        <v>2632.2200000000003</v>
      </c>
    </row>
    <row r="15" spans="1:13">
      <c r="A15" s="18" t="s">
        <v>87</v>
      </c>
    </row>
    <row r="16" spans="1:13">
      <c r="A16" t="s">
        <v>88</v>
      </c>
      <c r="E16" s="21">
        <v>233</v>
      </c>
      <c r="F16" s="21">
        <v>198.4</v>
      </c>
      <c r="G16" s="21">
        <v>216.78</v>
      </c>
      <c r="H16" s="28">
        <f>'P&amp;L'!H11*'Assumption '!B27/365</f>
        <v>251.09737205479456</v>
      </c>
      <c r="I16" s="28">
        <f>'P&amp;L'!I11*'Assumption '!C27/365</f>
        <v>268.31547756712337</v>
      </c>
      <c r="J16" s="28">
        <f>'P&amp;L'!J11*'Assumption '!D27/365</f>
        <v>276.70033624109595</v>
      </c>
    </row>
    <row r="17" spans="1:10">
      <c r="A17" t="s">
        <v>110</v>
      </c>
      <c r="E17" s="21">
        <v>193.9</v>
      </c>
      <c r="F17" s="21">
        <v>24.9</v>
      </c>
      <c r="G17" s="21">
        <v>10</v>
      </c>
      <c r="H17" s="21">
        <v>10</v>
      </c>
      <c r="I17" s="21">
        <v>10</v>
      </c>
      <c r="J17" s="21">
        <v>10</v>
      </c>
    </row>
    <row r="18" spans="1:10">
      <c r="A18" t="s">
        <v>89</v>
      </c>
      <c r="E18" s="21">
        <v>463.8</v>
      </c>
      <c r="F18" s="21">
        <v>530.5</v>
      </c>
      <c r="G18" s="21">
        <v>593.74</v>
      </c>
      <c r="H18" s="28">
        <f>'P&amp;L'!H5*'Assumption '!B26/365</f>
        <v>607.04859178082199</v>
      </c>
      <c r="I18" s="28">
        <f>'P&amp;L'!I5*'Assumption '!C26/365</f>
        <v>644.98912876712336</v>
      </c>
      <c r="J18" s="28">
        <f>'P&amp;L'!J5*'Assumption '!D26/365</f>
        <v>684.44728723287687</v>
      </c>
    </row>
    <row r="19" spans="1:10">
      <c r="A19" t="s">
        <v>111</v>
      </c>
      <c r="E19" s="21">
        <v>7.3</v>
      </c>
      <c r="F19" s="21">
        <v>12.4</v>
      </c>
      <c r="G19" s="21">
        <v>3.44</v>
      </c>
      <c r="H19" s="21">
        <v>7.0000000000000007E-2</v>
      </c>
      <c r="I19" s="21">
        <v>7.0000000000000007E-2</v>
      </c>
      <c r="J19" s="21">
        <v>7.0000000000000007E-2</v>
      </c>
    </row>
    <row r="20" spans="1:10">
      <c r="A20" t="s">
        <v>90</v>
      </c>
      <c r="E20" s="21">
        <v>2.2999999999999998</v>
      </c>
      <c r="F20" s="21">
        <v>0.3</v>
      </c>
      <c r="G20" s="21">
        <v>7.0000000000000007E-2</v>
      </c>
      <c r="H20" s="62">
        <f>'cash flow'!E42</f>
        <v>138.23092544526028</v>
      </c>
      <c r="I20" s="62">
        <f>'cash flow'!F42</f>
        <v>436.60477520306858</v>
      </c>
      <c r="J20" s="62">
        <f>'cash flow'!G42</f>
        <v>857.07483285146293</v>
      </c>
    </row>
    <row r="21" spans="1:10">
      <c r="A21" t="s">
        <v>112</v>
      </c>
      <c r="E21" s="21">
        <v>0</v>
      </c>
      <c r="F21" s="21">
        <v>0.1</v>
      </c>
      <c r="G21" s="21">
        <v>0.1</v>
      </c>
      <c r="H21" s="21">
        <v>0.1</v>
      </c>
      <c r="I21" s="21">
        <v>0.1</v>
      </c>
      <c r="J21" s="21">
        <v>0.1</v>
      </c>
    </row>
    <row r="22" spans="1:10">
      <c r="A22" t="s">
        <v>114</v>
      </c>
      <c r="E22" s="21">
        <v>27.4</v>
      </c>
      <c r="F22" s="21">
        <v>38.5</v>
      </c>
      <c r="G22" s="21">
        <v>45.94</v>
      </c>
      <c r="H22" s="21">
        <v>45.94</v>
      </c>
      <c r="I22" s="21">
        <v>45.94</v>
      </c>
      <c r="J22" s="21">
        <v>45.94</v>
      </c>
    </row>
    <row r="23" spans="1:10">
      <c r="A23" t="s">
        <v>113</v>
      </c>
      <c r="E23" s="21">
        <v>3</v>
      </c>
      <c r="F23" s="21">
        <v>23</v>
      </c>
      <c r="G23" s="21">
        <v>11.13</v>
      </c>
      <c r="H23" s="21">
        <v>11.13</v>
      </c>
      <c r="I23" s="21">
        <v>11.13</v>
      </c>
      <c r="J23" s="21">
        <v>11.13</v>
      </c>
    </row>
    <row r="24" spans="1:10">
      <c r="A24" t="s">
        <v>91</v>
      </c>
      <c r="E24" s="21">
        <v>130.5</v>
      </c>
      <c r="F24" s="21">
        <v>141.4</v>
      </c>
      <c r="G24" s="21">
        <v>87.55</v>
      </c>
      <c r="H24" s="21">
        <v>87.55</v>
      </c>
      <c r="I24" s="21">
        <v>87.55</v>
      </c>
      <c r="J24" s="21">
        <v>87.55</v>
      </c>
    </row>
    <row r="25" spans="1:10">
      <c r="A25" s="18" t="s">
        <v>92</v>
      </c>
      <c r="E25" s="28">
        <f>SUM(E16:E24)</f>
        <v>1061.1999999999998</v>
      </c>
      <c r="F25" s="28">
        <f>SUM(F16:F24)</f>
        <v>969.49999999999989</v>
      </c>
      <c r="G25" s="28">
        <f>SUM(G16:G24)</f>
        <v>968.75000000000011</v>
      </c>
      <c r="H25" s="28">
        <f t="shared" ref="H25:J25" si="1">SUM(H16:H24)</f>
        <v>1151.1668892808771</v>
      </c>
      <c r="I25" s="28">
        <f t="shared" si="1"/>
        <v>1504.6993815373155</v>
      </c>
      <c r="J25" s="28">
        <f t="shared" si="1"/>
        <v>1973.0124563254358</v>
      </c>
    </row>
    <row r="27" spans="1:10">
      <c r="A27" s="18" t="s">
        <v>93</v>
      </c>
      <c r="E27" s="57">
        <f>E13+E25</f>
        <v>2583.39</v>
      </c>
      <c r="F27" s="57">
        <f>F13+F25</f>
        <v>2827.4</v>
      </c>
      <c r="G27" s="57">
        <f>G13+G25</f>
        <v>3262.9700000000003</v>
      </c>
      <c r="H27" s="57">
        <f t="shared" ref="H27:J27" si="2">H13+H25</f>
        <v>3650.3868892808773</v>
      </c>
      <c r="I27" s="57">
        <f t="shared" si="2"/>
        <v>4098.9193815373155</v>
      </c>
      <c r="J27" s="57">
        <f t="shared" si="2"/>
        <v>4605.232456325436</v>
      </c>
    </row>
    <row r="29" spans="1:10">
      <c r="A29" s="18" t="s">
        <v>94</v>
      </c>
    </row>
    <row r="30" spans="1:10">
      <c r="A30" t="s">
        <v>95</v>
      </c>
    </row>
    <row r="31" spans="1:10">
      <c r="A31" t="s">
        <v>96</v>
      </c>
      <c r="E31" s="21">
        <v>10.3</v>
      </c>
      <c r="F31" s="21">
        <v>10.4</v>
      </c>
      <c r="G31" s="21">
        <v>10.37</v>
      </c>
      <c r="H31" s="21">
        <v>10.37</v>
      </c>
      <c r="I31" s="21">
        <v>10.37</v>
      </c>
      <c r="J31" s="21">
        <v>10.37</v>
      </c>
    </row>
    <row r="32" spans="1:10">
      <c r="A32" t="s">
        <v>97</v>
      </c>
      <c r="E32" s="19">
        <v>2203.5</v>
      </c>
      <c r="F32" s="19">
        <v>2454</v>
      </c>
      <c r="G32" s="19">
        <v>2796.36</v>
      </c>
      <c r="H32" s="28">
        <f>G32+'P&amp;L'!H22-('P&amp;L'!H22*'Assumption '!B29)</f>
        <v>3183.2784660480002</v>
      </c>
      <c r="I32" s="28">
        <f>H32+'P&amp;L'!I22-('P&amp;L'!I22*'Assumption '!C29)</f>
        <v>3610.4934842880002</v>
      </c>
      <c r="J32" s="28">
        <f>I32+'P&amp;L'!J22-('P&amp;L'!J22*'Assumption '!D29)</f>
        <v>4099.5006850815998</v>
      </c>
    </row>
    <row r="33" spans="1:10">
      <c r="A33" s="18" t="s">
        <v>98</v>
      </c>
      <c r="E33" s="28">
        <f>SUM(E31:E32)</f>
        <v>2213.8000000000002</v>
      </c>
      <c r="F33" s="28">
        <f>SUM(F31:F32)</f>
        <v>2464.4</v>
      </c>
      <c r="G33" s="57">
        <f>G31+G32</f>
        <v>2806.73</v>
      </c>
      <c r="H33" s="57">
        <f t="shared" ref="H33:J33" si="3">H31+H32</f>
        <v>3193.648466048</v>
      </c>
      <c r="I33" s="57">
        <f t="shared" si="3"/>
        <v>3620.8634842880001</v>
      </c>
      <c r="J33" s="57">
        <f t="shared" si="3"/>
        <v>4109.8706850815997</v>
      </c>
    </row>
    <row r="35" spans="1:10">
      <c r="A35" s="18" t="s">
        <v>99</v>
      </c>
    </row>
    <row r="36" spans="1:10">
      <c r="A36" t="s">
        <v>100</v>
      </c>
      <c r="E36" s="21">
        <v>110</v>
      </c>
      <c r="F36" s="21">
        <v>133.5</v>
      </c>
      <c r="G36" s="21">
        <v>154.04</v>
      </c>
      <c r="H36" s="21">
        <v>168</v>
      </c>
      <c r="I36" s="21">
        <v>180</v>
      </c>
      <c r="J36" s="21">
        <v>191</v>
      </c>
    </row>
    <row r="37" spans="1:10">
      <c r="A37" t="s">
        <v>116</v>
      </c>
      <c r="E37" s="21">
        <v>6.9</v>
      </c>
      <c r="F37" s="21">
        <v>1.7</v>
      </c>
      <c r="G37" s="21">
        <v>7.04</v>
      </c>
      <c r="H37" s="21">
        <v>7.04</v>
      </c>
      <c r="I37" s="21">
        <v>7.04</v>
      </c>
      <c r="J37" s="21">
        <v>7.04</v>
      </c>
    </row>
    <row r="38" spans="1:10">
      <c r="A38" t="s">
        <v>115</v>
      </c>
      <c r="E38" s="21">
        <v>10.4</v>
      </c>
      <c r="F38" s="21">
        <v>6.8</v>
      </c>
      <c r="G38" s="21">
        <v>0</v>
      </c>
      <c r="H38" s="21">
        <v>0</v>
      </c>
      <c r="I38" s="21">
        <v>0</v>
      </c>
      <c r="J38" s="21">
        <v>0</v>
      </c>
    </row>
    <row r="39" spans="1:10">
      <c r="A39" t="s">
        <v>101</v>
      </c>
      <c r="E39" s="21">
        <v>0</v>
      </c>
      <c r="F39" s="21">
        <v>17.100000000000001</v>
      </c>
      <c r="G39" s="21">
        <v>0</v>
      </c>
      <c r="H39" s="21">
        <v>0</v>
      </c>
      <c r="I39" s="21">
        <v>0</v>
      </c>
      <c r="J39" s="21">
        <v>0</v>
      </c>
    </row>
    <row r="40" spans="1:10">
      <c r="A40" s="18" t="s">
        <v>102</v>
      </c>
      <c r="E40" s="28">
        <f>SUM(E36:E39)</f>
        <v>127.30000000000001</v>
      </c>
      <c r="F40" s="28">
        <f>SUM(F36:F39)</f>
        <v>159.1</v>
      </c>
      <c r="G40" s="28">
        <f>SUM(G36:G39)</f>
        <v>161.07999999999998</v>
      </c>
      <c r="H40" s="28">
        <f t="shared" ref="H40:J40" si="4">SUM(H36:H39)</f>
        <v>175.04</v>
      </c>
      <c r="I40" s="28">
        <f t="shared" si="4"/>
        <v>187.04</v>
      </c>
      <c r="J40" s="28">
        <f t="shared" si="4"/>
        <v>198.04</v>
      </c>
    </row>
    <row r="42" spans="1:10">
      <c r="A42" s="18" t="s">
        <v>103</v>
      </c>
    </row>
    <row r="43" spans="1:10">
      <c r="A43" t="s">
        <v>115</v>
      </c>
      <c r="E43" s="21">
        <v>24.9</v>
      </c>
      <c r="F43" s="21">
        <v>4.5999999999999996</v>
      </c>
      <c r="G43" s="21">
        <v>62.62</v>
      </c>
      <c r="H43" s="21">
        <v>40</v>
      </c>
      <c r="I43" s="21">
        <v>20</v>
      </c>
      <c r="J43" s="21">
        <v>0</v>
      </c>
    </row>
    <row r="44" spans="1:10">
      <c r="A44" t="s">
        <v>116</v>
      </c>
      <c r="E44" s="21">
        <v>9.6</v>
      </c>
      <c r="F44" s="21">
        <v>12.6</v>
      </c>
      <c r="G44" s="21">
        <v>19.66</v>
      </c>
      <c r="H44" s="21">
        <v>19.66</v>
      </c>
      <c r="I44" s="21">
        <v>19.66</v>
      </c>
      <c r="J44" s="21">
        <v>19.66</v>
      </c>
    </row>
    <row r="45" spans="1:10">
      <c r="A45" t="s">
        <v>117</v>
      </c>
      <c r="E45" s="21">
        <v>6</v>
      </c>
      <c r="F45" s="21">
        <v>7.7</v>
      </c>
      <c r="G45" s="21">
        <v>9.24</v>
      </c>
      <c r="H45" s="21">
        <v>9.24</v>
      </c>
      <c r="I45" s="21">
        <v>9.24</v>
      </c>
      <c r="J45" s="21">
        <v>9.24</v>
      </c>
    </row>
    <row r="46" spans="1:10">
      <c r="A46" t="s">
        <v>104</v>
      </c>
      <c r="E46" s="21">
        <v>119.8</v>
      </c>
      <c r="F46" s="21">
        <v>100.7</v>
      </c>
      <c r="G46" s="21">
        <v>142.53</v>
      </c>
      <c r="H46" s="28">
        <f>'P&amp;L'!H11*'Assumption '!B28/365</f>
        <v>150.65842323287671</v>
      </c>
      <c r="I46" s="28">
        <f>'P&amp;L'!I11*'Assumption '!C28/365</f>
        <v>173.61589724931511</v>
      </c>
      <c r="J46" s="28">
        <f>'P&amp;L'!J11*'Assumption '!D28/365</f>
        <v>191.56177124383566</v>
      </c>
    </row>
    <row r="47" spans="1:10">
      <c r="A47" t="s">
        <v>118</v>
      </c>
      <c r="E47" s="21">
        <v>0</v>
      </c>
      <c r="F47" s="21">
        <v>9.3000000000000007</v>
      </c>
      <c r="G47" s="21">
        <v>0</v>
      </c>
      <c r="H47" s="21">
        <v>0</v>
      </c>
      <c r="I47" s="21">
        <v>0</v>
      </c>
      <c r="J47" s="21">
        <v>0</v>
      </c>
    </row>
    <row r="48" spans="1:10">
      <c r="A48" t="s">
        <v>105</v>
      </c>
      <c r="E48" s="21">
        <v>81.099999999999994</v>
      </c>
      <c r="F48" s="21">
        <v>70.099999999999994</v>
      </c>
      <c r="G48" s="21">
        <v>61.11</v>
      </c>
      <c r="H48" s="21">
        <v>61.11</v>
      </c>
      <c r="I48" s="21">
        <v>61.11</v>
      </c>
      <c r="J48" s="21">
        <v>61.11</v>
      </c>
    </row>
    <row r="49" spans="1:10">
      <c r="A49" s="18" t="s">
        <v>106</v>
      </c>
      <c r="E49" s="28">
        <f>SUM(E43:E48)</f>
        <v>241.4</v>
      </c>
      <c r="F49" s="28">
        <f>SUM(F43:F48)</f>
        <v>205</v>
      </c>
      <c r="G49" s="28">
        <f>SUM(G43:G48)</f>
        <v>295.16000000000003</v>
      </c>
      <c r="H49" s="28">
        <f t="shared" ref="H49:J49" si="5">SUM(H43:H48)</f>
        <v>280.66842323287671</v>
      </c>
      <c r="I49" s="28">
        <f t="shared" si="5"/>
        <v>283.62589724931513</v>
      </c>
      <c r="J49" s="28">
        <f t="shared" si="5"/>
        <v>281.57177124383566</v>
      </c>
    </row>
    <row r="51" spans="1:10">
      <c r="A51" s="18" t="s">
        <v>107</v>
      </c>
      <c r="E51" s="28">
        <f>E40+E49</f>
        <v>368.70000000000005</v>
      </c>
      <c r="F51" s="28">
        <f>F40+F49</f>
        <v>364.1</v>
      </c>
      <c r="G51" s="28">
        <f>G40+G49</f>
        <v>456.24</v>
      </c>
      <c r="H51" s="28">
        <f t="shared" ref="H51:J51" si="6">H40+H49</f>
        <v>455.70842323287673</v>
      </c>
      <c r="I51" s="28">
        <f t="shared" si="6"/>
        <v>470.66589724931509</v>
      </c>
      <c r="J51" s="28">
        <f t="shared" si="6"/>
        <v>479.61177124383562</v>
      </c>
    </row>
    <row r="52" spans="1:10">
      <c r="A52" s="18" t="s">
        <v>108</v>
      </c>
      <c r="E52" s="28">
        <f>E33+E40+E49</f>
        <v>2582.5000000000005</v>
      </c>
      <c r="F52" s="28">
        <f>F33+F40+F49</f>
        <v>2828.5</v>
      </c>
      <c r="G52" s="57">
        <f>G33+G40+G49</f>
        <v>3262.97</v>
      </c>
      <c r="H52" s="57">
        <f t="shared" ref="H52:J52" si="7">H33+H40+H49</f>
        <v>3649.3568892808767</v>
      </c>
      <c r="I52" s="57">
        <f t="shared" si="7"/>
        <v>4091.5293815373152</v>
      </c>
      <c r="J52" s="57">
        <f t="shared" si="7"/>
        <v>4589.4824563254351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E4B0D-0604-41F9-936E-51564C5DAAD7}">
  <dimension ref="A1:O42"/>
  <sheetViews>
    <sheetView topLeftCell="A5" zoomScale="111" workbookViewId="0">
      <selection activeCell="D42" sqref="D42"/>
    </sheetView>
  </sheetViews>
  <sheetFormatPr defaultRowHeight="14.4"/>
  <cols>
    <col min="1" max="1" width="40.88671875" customWidth="1"/>
    <col min="2" max="2" width="12.21875" customWidth="1"/>
    <col min="15" max="15" width="43.21875" bestFit="1" customWidth="1"/>
  </cols>
  <sheetData>
    <row r="1" spans="1:15" ht="25.8">
      <c r="A1" s="54" t="s">
        <v>127</v>
      </c>
      <c r="B1" s="35"/>
      <c r="C1" s="2"/>
      <c r="D1" s="1"/>
      <c r="E1" s="1"/>
      <c r="F1" s="1"/>
      <c r="N1" s="8" t="s">
        <v>20</v>
      </c>
      <c r="O1" s="8"/>
    </row>
    <row r="2" spans="1:15" ht="18">
      <c r="A2" s="52" t="s">
        <v>63</v>
      </c>
      <c r="B2" s="17"/>
      <c r="N2" s="6" t="s">
        <v>21</v>
      </c>
      <c r="O2" s="6" t="s">
        <v>30</v>
      </c>
    </row>
    <row r="3" spans="1:15" ht="15.6">
      <c r="A3" s="66" t="s">
        <v>158</v>
      </c>
      <c r="B3" s="41" t="s">
        <v>38</v>
      </c>
      <c r="C3" s="41" t="s">
        <v>39</v>
      </c>
      <c r="D3" s="41" t="s">
        <v>120</v>
      </c>
      <c r="E3" s="41" t="s">
        <v>64</v>
      </c>
      <c r="F3" s="41" t="s">
        <v>65</v>
      </c>
      <c r="G3" s="41" t="s">
        <v>121</v>
      </c>
      <c r="N3" s="9" t="s">
        <v>26</v>
      </c>
      <c r="O3" s="9" t="s">
        <v>22</v>
      </c>
    </row>
    <row r="4" spans="1:15" ht="15.6">
      <c r="A4" s="63" t="s">
        <v>128</v>
      </c>
      <c r="B4" s="65"/>
      <c r="C4" s="65"/>
      <c r="D4" s="65"/>
      <c r="E4" s="65"/>
      <c r="F4" s="65"/>
      <c r="G4" s="65"/>
      <c r="N4" s="10" t="s">
        <v>25</v>
      </c>
      <c r="O4" s="10" t="s">
        <v>23</v>
      </c>
    </row>
    <row r="5" spans="1:15">
      <c r="A5" t="s">
        <v>51</v>
      </c>
      <c r="C5" s="21">
        <v>432.47</v>
      </c>
      <c r="D5" s="21">
        <v>548.23</v>
      </c>
      <c r="E5" s="62">
        <f>'P&amp;L'!H20</f>
        <v>636.37905600000022</v>
      </c>
      <c r="F5" s="62">
        <f>'P&amp;L'!I20</f>
        <v>702.65628000000015</v>
      </c>
      <c r="G5" s="62">
        <f>'P&amp;L'!J20</f>
        <v>804.28815919999988</v>
      </c>
      <c r="N5" s="11" t="s">
        <v>24</v>
      </c>
      <c r="O5" s="11" t="s">
        <v>27</v>
      </c>
    </row>
    <row r="6" spans="1:15">
      <c r="A6" t="s">
        <v>129</v>
      </c>
      <c r="C6" s="21">
        <v>72.790000000000006</v>
      </c>
      <c r="D6" s="21">
        <v>80.75</v>
      </c>
      <c r="E6" s="43">
        <f>'P&amp;L'!H16</f>
        <v>95</v>
      </c>
      <c r="F6" s="43">
        <f>'P&amp;L'!I16</f>
        <v>105</v>
      </c>
      <c r="G6" s="43">
        <f>'P&amp;L'!J16</f>
        <v>112</v>
      </c>
      <c r="N6" s="12" t="s">
        <v>28</v>
      </c>
      <c r="O6" s="12" t="s">
        <v>29</v>
      </c>
    </row>
    <row r="7" spans="1:15">
      <c r="A7" t="s">
        <v>130</v>
      </c>
      <c r="C7" s="21">
        <v>3.62</v>
      </c>
      <c r="D7" s="21">
        <v>0.52</v>
      </c>
      <c r="E7" s="43">
        <f>'P&amp;L'!H15</f>
        <v>2</v>
      </c>
      <c r="F7" s="43">
        <f>'P&amp;L'!I15</f>
        <v>2</v>
      </c>
      <c r="G7" s="43">
        <f>'P&amp;L'!J15</f>
        <v>2</v>
      </c>
    </row>
    <row r="8" spans="1:15">
      <c r="A8" t="s">
        <v>156</v>
      </c>
      <c r="C8" s="21">
        <v>-14.15</v>
      </c>
      <c r="D8" s="21">
        <v>-14.64</v>
      </c>
      <c r="E8" s="21">
        <v>-14.64</v>
      </c>
      <c r="F8" s="21">
        <v>-14.64</v>
      </c>
      <c r="G8" s="21">
        <v>-14.64</v>
      </c>
    </row>
    <row r="9" spans="1:15">
      <c r="A9" t="s">
        <v>131</v>
      </c>
      <c r="C9" s="21">
        <v>493.73</v>
      </c>
      <c r="D9" s="21">
        <v>614.86</v>
      </c>
      <c r="E9" s="57">
        <f>SUM(E5:E8)</f>
        <v>718.73905600000023</v>
      </c>
      <c r="F9" s="57">
        <f t="shared" ref="F9:G9" si="0">SUM(F5:F8)</f>
        <v>795.01628000000017</v>
      </c>
      <c r="G9" s="57">
        <f t="shared" si="0"/>
        <v>903.6481591999999</v>
      </c>
    </row>
    <row r="11" spans="1:15">
      <c r="A11" t="s">
        <v>132</v>
      </c>
    </row>
    <row r="12" spans="1:15">
      <c r="A12" t="s">
        <v>133</v>
      </c>
      <c r="C12" s="21">
        <v>34.58</v>
      </c>
      <c r="D12" s="21">
        <v>-18.350000000000001</v>
      </c>
      <c r="E12" s="28">
        <f>-('Balance sheet'!H16-'Balance sheet'!G16)</f>
        <v>-34.317372054794561</v>
      </c>
      <c r="F12" s="28">
        <f>-('Balance sheet'!I16-'Balance sheet'!H16)</f>
        <v>-17.218105512328805</v>
      </c>
      <c r="G12" s="28">
        <f>-('Balance sheet'!J16-'Balance sheet'!I16)</f>
        <v>-8.3848586739725874</v>
      </c>
    </row>
    <row r="13" spans="1:15">
      <c r="A13" t="s">
        <v>134</v>
      </c>
      <c r="C13" s="21">
        <v>-60.96</v>
      </c>
      <c r="D13" s="21">
        <v>-62.61</v>
      </c>
      <c r="E13" s="28">
        <f>-('Balance sheet'!H18-'Balance sheet'!G18)</f>
        <v>-13.308591780821985</v>
      </c>
      <c r="F13" s="28">
        <f>-('Balance sheet'!I18-'Balance sheet'!H18)</f>
        <v>-37.940536986301368</v>
      </c>
      <c r="G13" s="28">
        <f>-('Balance sheet'!J18-'Balance sheet'!I18)</f>
        <v>-39.458158465753513</v>
      </c>
    </row>
    <row r="14" spans="1:15" hidden="1">
      <c r="A14" t="s">
        <v>135</v>
      </c>
      <c r="C14" s="21">
        <v>0</v>
      </c>
      <c r="D14" s="21"/>
    </row>
    <row r="15" spans="1:15">
      <c r="A15" t="s">
        <v>136</v>
      </c>
      <c r="C15" s="21">
        <v>-20.71</v>
      </c>
      <c r="D15" s="21">
        <v>41.48</v>
      </c>
      <c r="E15" s="28">
        <f>'Balance sheet'!H46-'Balance sheet'!G46</f>
        <v>8.1284232328767132</v>
      </c>
      <c r="F15" s="28">
        <f>'Balance sheet'!I46-'Balance sheet'!H46</f>
        <v>22.957474016438397</v>
      </c>
      <c r="G15" s="28">
        <f>'Balance sheet'!J46-'Balance sheet'!I46</f>
        <v>17.945873994520554</v>
      </c>
    </row>
    <row r="16" spans="1:15">
      <c r="A16" t="s">
        <v>137</v>
      </c>
      <c r="C16" s="21">
        <v>-21.34</v>
      </c>
      <c r="D16" s="21">
        <v>13.38</v>
      </c>
      <c r="E16" s="28">
        <f>'Balance sheet'!H48-'Balance sheet'!G48</f>
        <v>0</v>
      </c>
      <c r="F16" s="28">
        <f>'Balance sheet'!I48-'Balance sheet'!H48</f>
        <v>0</v>
      </c>
      <c r="G16" s="28">
        <f>'Balance sheet'!J48-'Balance sheet'!I48</f>
        <v>0</v>
      </c>
    </row>
    <row r="17" spans="1:7" hidden="1">
      <c r="A17" t="s">
        <v>157</v>
      </c>
      <c r="C17" s="21"/>
      <c r="D17" s="21"/>
    </row>
    <row r="18" spans="1:7">
      <c r="A18" t="s">
        <v>138</v>
      </c>
      <c r="C18" s="21">
        <f t="shared" ref="C18:D18" si="1">SUM(C12:C16)</f>
        <v>-68.430000000000007</v>
      </c>
      <c r="D18" s="21">
        <f t="shared" si="1"/>
        <v>-26.100000000000009</v>
      </c>
      <c r="E18" s="28">
        <f>SUM(E12:E16)</f>
        <v>-39.497540602739832</v>
      </c>
      <c r="F18" s="28">
        <f t="shared" ref="F18:G18" si="2">SUM(F12:F16)</f>
        <v>-32.201168482191775</v>
      </c>
      <c r="G18" s="28">
        <f t="shared" si="2"/>
        <v>-29.897143145205547</v>
      </c>
    </row>
    <row r="20" spans="1:7">
      <c r="A20" t="s">
        <v>139</v>
      </c>
      <c r="C20" s="21">
        <v>425.31</v>
      </c>
      <c r="D20" s="21">
        <v>588.76</v>
      </c>
      <c r="E20" s="57">
        <f>E9+E18</f>
        <v>679.2415153972604</v>
      </c>
      <c r="F20" s="57">
        <f t="shared" ref="F20:G20" si="3">F9+F18</f>
        <v>762.81511151780842</v>
      </c>
      <c r="G20" s="57">
        <f t="shared" si="3"/>
        <v>873.75101605479438</v>
      </c>
    </row>
    <row r="21" spans="1:7">
      <c r="A21" t="s">
        <v>140</v>
      </c>
      <c r="C21" s="21">
        <v>-87.14</v>
      </c>
      <c r="D21" s="21">
        <v>-94.32</v>
      </c>
      <c r="E21" s="28">
        <f>-'P&amp;L'!H21</f>
        <v>-152.73097344000004</v>
      </c>
      <c r="F21" s="28">
        <f>-'P&amp;L'!I21</f>
        <v>-168.63750720000004</v>
      </c>
      <c r="G21" s="28">
        <f>-'P&amp;L'!J21</f>
        <v>-193.02915820799996</v>
      </c>
    </row>
    <row r="22" spans="1:7" ht="15.6">
      <c r="A22" s="64" t="s">
        <v>141</v>
      </c>
      <c r="C22" s="67">
        <v>338.17</v>
      </c>
      <c r="D22" s="67">
        <v>494.44</v>
      </c>
      <c r="E22" s="60">
        <f>E20+E21</f>
        <v>526.51054195726033</v>
      </c>
      <c r="F22" s="60">
        <f t="shared" ref="F22:G22" si="4">F20+F21</f>
        <v>594.17760431780835</v>
      </c>
      <c r="G22" s="60">
        <f t="shared" si="4"/>
        <v>680.72185784679436</v>
      </c>
    </row>
    <row r="24" spans="1:7" ht="15.6">
      <c r="A24" s="64" t="s">
        <v>142</v>
      </c>
    </row>
    <row r="25" spans="1:7">
      <c r="A25" t="s">
        <v>143</v>
      </c>
      <c r="C25" s="21">
        <v>-230.34</v>
      </c>
      <c r="D25" s="21">
        <v>-189.73</v>
      </c>
      <c r="E25" s="43">
        <f>-'Assumption '!B25</f>
        <v>-300</v>
      </c>
      <c r="F25" s="43">
        <f>-'Assumption '!C25</f>
        <v>-200</v>
      </c>
      <c r="G25" s="43">
        <f>-'Assumption '!D25</f>
        <v>-150</v>
      </c>
    </row>
    <row r="26" spans="1:7">
      <c r="A26" t="s">
        <v>159</v>
      </c>
      <c r="C26" s="21">
        <v>-172.54</v>
      </c>
      <c r="D26" s="21">
        <v>-348.12</v>
      </c>
      <c r="E26" s="21">
        <v>0</v>
      </c>
      <c r="F26" s="21">
        <v>0</v>
      </c>
      <c r="G26" s="21">
        <v>0</v>
      </c>
    </row>
    <row r="27" spans="1:7">
      <c r="A27" t="s">
        <v>161</v>
      </c>
      <c r="C27" s="21">
        <v>0.89</v>
      </c>
      <c r="D27" s="21">
        <v>3.18</v>
      </c>
      <c r="E27" s="21">
        <v>3</v>
      </c>
      <c r="F27" s="21">
        <v>2</v>
      </c>
      <c r="G27" s="21">
        <v>2</v>
      </c>
    </row>
    <row r="28" spans="1:7">
      <c r="A28" t="s">
        <v>144</v>
      </c>
      <c r="C28" s="21">
        <v>-62.4</v>
      </c>
      <c r="D28" s="21">
        <v>0</v>
      </c>
      <c r="E28" s="21">
        <v>0</v>
      </c>
      <c r="F28" s="21">
        <v>0</v>
      </c>
      <c r="G28" s="21">
        <v>0</v>
      </c>
    </row>
    <row r="29" spans="1:7">
      <c r="A29" t="s">
        <v>145</v>
      </c>
      <c r="C29" s="21">
        <v>107.27</v>
      </c>
      <c r="D29" s="21">
        <v>30.08</v>
      </c>
      <c r="E29" s="21">
        <v>15</v>
      </c>
      <c r="F29" s="21">
        <v>15</v>
      </c>
      <c r="G29" s="21">
        <v>15</v>
      </c>
    </row>
    <row r="30" spans="1:7">
      <c r="A30" t="s">
        <v>146</v>
      </c>
      <c r="C30" s="21">
        <v>8.86</v>
      </c>
      <c r="D30" s="21">
        <v>14.86</v>
      </c>
      <c r="E30" s="21">
        <v>15</v>
      </c>
      <c r="F30" s="21">
        <v>16</v>
      </c>
      <c r="G30" s="21">
        <v>17</v>
      </c>
    </row>
    <row r="31" spans="1:7">
      <c r="A31" t="s">
        <v>160</v>
      </c>
      <c r="C31" s="21">
        <v>-5.38</v>
      </c>
      <c r="D31" s="21">
        <v>9.94</v>
      </c>
      <c r="E31" s="21">
        <v>0</v>
      </c>
      <c r="F31" s="21">
        <v>0</v>
      </c>
      <c r="G31" s="21">
        <v>0</v>
      </c>
    </row>
    <row r="32" spans="1:7" ht="15.6">
      <c r="A32" s="64" t="s">
        <v>147</v>
      </c>
      <c r="C32" s="67">
        <v>-353.4</v>
      </c>
      <c r="D32" s="67">
        <v>-479.74</v>
      </c>
      <c r="E32" s="27">
        <f>SUM(E25:E31)</f>
        <v>-267</v>
      </c>
      <c r="F32" s="27">
        <f t="shared" ref="F32:G32" si="5">SUM(F25:F31)</f>
        <v>-167</v>
      </c>
      <c r="G32" s="27">
        <f t="shared" si="5"/>
        <v>-116</v>
      </c>
    </row>
    <row r="34" spans="1:7" ht="15.6">
      <c r="A34" s="64" t="s">
        <v>148</v>
      </c>
    </row>
    <row r="35" spans="1:7">
      <c r="A35" t="s">
        <v>149</v>
      </c>
      <c r="C35" s="21">
        <v>-30.57</v>
      </c>
      <c r="D35" s="21">
        <v>57.97</v>
      </c>
      <c r="E35" s="28">
        <f>'Balance sheet'!H43-'Balance sheet'!G43</f>
        <v>-22.619999999999997</v>
      </c>
      <c r="F35" s="28">
        <f>'Balance sheet'!I43-'Balance sheet'!H43</f>
        <v>-20</v>
      </c>
      <c r="G35" s="28">
        <f>'Balance sheet'!J43-'Balance sheet'!I43</f>
        <v>-20</v>
      </c>
    </row>
    <row r="36" spans="1:7">
      <c r="A36" t="s">
        <v>150</v>
      </c>
      <c r="C36" s="21">
        <v>-72.25</v>
      </c>
      <c r="D36" s="21">
        <v>-72.430000000000007</v>
      </c>
      <c r="E36" s="28">
        <f>-('P&amp;L'!H22*'Assumption '!B29)</f>
        <v>-96.729616512000035</v>
      </c>
      <c r="F36" s="28">
        <f>-('P&amp;L'!I22*'Assumption '!C29)</f>
        <v>-106.80375456000002</v>
      </c>
      <c r="G36" s="28">
        <f>-('P&amp;L'!J22*'Assumption '!D29)</f>
        <v>-122.25180019840001</v>
      </c>
    </row>
    <row r="37" spans="1:7">
      <c r="A37" t="s">
        <v>151</v>
      </c>
      <c r="C37" s="21">
        <v>-3.64</v>
      </c>
      <c r="D37" s="21">
        <v>-0.52</v>
      </c>
      <c r="E37" s="43">
        <f>-'P&amp;L'!H15</f>
        <v>-2</v>
      </c>
      <c r="F37" s="43">
        <f>-'P&amp;L'!I15</f>
        <v>-2</v>
      </c>
      <c r="G37" s="43">
        <f>-'P&amp;L'!J15</f>
        <v>-2</v>
      </c>
    </row>
    <row r="38" spans="1:7" ht="15.6">
      <c r="A38" s="64" t="s">
        <v>152</v>
      </c>
      <c r="C38" s="67">
        <v>-106.39</v>
      </c>
      <c r="D38" s="67">
        <v>-14.94</v>
      </c>
      <c r="E38" s="27">
        <f>SUM(E35:E37)</f>
        <v>-121.34961651200004</v>
      </c>
      <c r="F38" s="27">
        <f t="shared" ref="F38:G38" si="6">SUM(F35:F37)</f>
        <v>-128.80375456000002</v>
      </c>
      <c r="G38" s="27">
        <f t="shared" si="6"/>
        <v>-144.25180019840002</v>
      </c>
    </row>
    <row r="40" spans="1:7" ht="15.6">
      <c r="A40" s="64" t="s">
        <v>153</v>
      </c>
      <c r="C40" s="67">
        <v>-121.62</v>
      </c>
      <c r="D40" s="67">
        <v>-0.24</v>
      </c>
      <c r="E40" s="57">
        <f>E22+E32+E38</f>
        <v>138.16092544526029</v>
      </c>
      <c r="F40" s="57">
        <f t="shared" ref="F40:G40" si="7">F22+F32+F38</f>
        <v>298.37384975780833</v>
      </c>
      <c r="G40" s="57">
        <f t="shared" si="7"/>
        <v>420.47005764839435</v>
      </c>
    </row>
    <row r="41" spans="1:7">
      <c r="A41" t="s">
        <v>154</v>
      </c>
      <c r="C41" s="21">
        <v>121.93</v>
      </c>
      <c r="D41" s="21">
        <v>0.31</v>
      </c>
      <c r="E41" s="43">
        <f>D42</f>
        <v>7.0000000000000007E-2</v>
      </c>
      <c r="F41" s="62">
        <f>E42</f>
        <v>138.23092544526028</v>
      </c>
      <c r="G41" s="62">
        <f>F42</f>
        <v>436.60477520306858</v>
      </c>
    </row>
    <row r="42" spans="1:7" ht="15.6">
      <c r="A42" s="64" t="s">
        <v>155</v>
      </c>
      <c r="C42" s="67">
        <v>0.31</v>
      </c>
      <c r="D42" s="67">
        <v>7.0000000000000007E-2</v>
      </c>
      <c r="E42" s="57">
        <f>E40+E41</f>
        <v>138.23092544526028</v>
      </c>
      <c r="F42" s="57">
        <f>F40+F41</f>
        <v>436.60477520306858</v>
      </c>
      <c r="G42" s="57">
        <f>G40+G41</f>
        <v>857.07483285146293</v>
      </c>
    </row>
  </sheetData>
  <phoneticPr fontId="1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D4267-5410-454B-A72D-0E6D7B04CFC2}">
  <dimension ref="A1:O42"/>
  <sheetViews>
    <sheetView tabSelected="1" workbookViewId="0">
      <selection activeCell="B8" sqref="B8"/>
    </sheetView>
  </sheetViews>
  <sheetFormatPr defaultRowHeight="14.4"/>
  <cols>
    <col min="1" max="1" width="26.21875" customWidth="1"/>
    <col min="2" max="2" width="13" customWidth="1"/>
    <col min="15" max="15" width="44.109375" customWidth="1"/>
  </cols>
  <sheetData>
    <row r="1" spans="1:15" ht="25.8">
      <c r="A1" s="71" t="s">
        <v>162</v>
      </c>
      <c r="B1" s="35"/>
      <c r="C1" s="2"/>
      <c r="D1" s="1"/>
      <c r="E1" s="1"/>
      <c r="F1" s="1"/>
      <c r="N1" s="8" t="s">
        <v>20</v>
      </c>
      <c r="O1" s="8"/>
    </row>
    <row r="2" spans="1:15" ht="21">
      <c r="A2" s="72" t="s">
        <v>63</v>
      </c>
      <c r="B2" s="17"/>
      <c r="N2" s="6" t="s">
        <v>21</v>
      </c>
      <c r="O2" s="6" t="s">
        <v>30</v>
      </c>
    </row>
    <row r="3" spans="1:15">
      <c r="N3" s="9" t="s">
        <v>26</v>
      </c>
      <c r="O3" s="9" t="s">
        <v>22</v>
      </c>
    </row>
    <row r="4" spans="1:15" ht="18">
      <c r="A4" s="80" t="s">
        <v>163</v>
      </c>
      <c r="N4" s="10" t="s">
        <v>25</v>
      </c>
      <c r="O4" s="10" t="s">
        <v>23</v>
      </c>
    </row>
    <row r="5" spans="1:15">
      <c r="A5" s="73" t="s">
        <v>164</v>
      </c>
      <c r="B5" s="50">
        <v>7.0000000000000007E-2</v>
      </c>
      <c r="N5" s="11" t="s">
        <v>24</v>
      </c>
      <c r="O5" s="11" t="s">
        <v>27</v>
      </c>
    </row>
    <row r="6" spans="1:15">
      <c r="A6" s="73" t="s">
        <v>165</v>
      </c>
      <c r="B6" s="50">
        <v>5.5E-2</v>
      </c>
      <c r="N6" s="12" t="s">
        <v>28</v>
      </c>
      <c r="O6" s="12" t="s">
        <v>29</v>
      </c>
    </row>
    <row r="7" spans="1:15">
      <c r="A7" s="73" t="s">
        <v>166</v>
      </c>
      <c r="B7" s="49">
        <v>0.85</v>
      </c>
    </row>
    <row r="8" spans="1:15">
      <c r="A8" s="73" t="s">
        <v>167</v>
      </c>
      <c r="B8" s="75">
        <f>B5+(B6*B7)</f>
        <v>0.11675000000000001</v>
      </c>
    </row>
    <row r="9" spans="1:15">
      <c r="A9" s="73" t="s">
        <v>168</v>
      </c>
      <c r="B9" s="50">
        <v>0.08</v>
      </c>
    </row>
    <row r="10" spans="1:15">
      <c r="A10" s="73" t="s">
        <v>169</v>
      </c>
      <c r="B10" s="48">
        <v>0.24</v>
      </c>
    </row>
    <row r="11" spans="1:15">
      <c r="A11" s="73" t="s">
        <v>170</v>
      </c>
      <c r="B11" s="75">
        <f>B9*(1-B10)</f>
        <v>6.08E-2</v>
      </c>
    </row>
    <row r="12" spans="1:15">
      <c r="A12" s="73" t="s">
        <v>171</v>
      </c>
      <c r="B12" s="50">
        <v>5.0000000000000001E-3</v>
      </c>
    </row>
    <row r="13" spans="1:15">
      <c r="A13" s="73" t="s">
        <v>172</v>
      </c>
      <c r="B13" s="50">
        <v>0.995</v>
      </c>
    </row>
    <row r="14" spans="1:15">
      <c r="A14" s="74" t="s">
        <v>173</v>
      </c>
      <c r="B14" s="75">
        <f>(B13*B8)+(B12*B11)</f>
        <v>0.11647025000000001</v>
      </c>
    </row>
    <row r="17" spans="1:4" ht="18">
      <c r="A17" s="79" t="s">
        <v>174</v>
      </c>
      <c r="B17" s="41" t="s">
        <v>64</v>
      </c>
      <c r="C17" s="41" t="s">
        <v>65</v>
      </c>
      <c r="D17" s="41" t="s">
        <v>121</v>
      </c>
    </row>
    <row r="18" spans="1:4">
      <c r="A18" t="s">
        <v>175</v>
      </c>
      <c r="B18" s="20">
        <f>'P&amp;L'!H20+'P&amp;L'!H15</f>
        <v>638.37905600000022</v>
      </c>
      <c r="C18" s="20">
        <f>'P&amp;L'!I20+'P&amp;L'!I15</f>
        <v>704.65628000000015</v>
      </c>
      <c r="D18" s="20">
        <f>'P&amp;L'!J20+'P&amp;L'!J15</f>
        <v>806.28815919999988</v>
      </c>
    </row>
    <row r="19" spans="1:4">
      <c r="A19" t="s">
        <v>176</v>
      </c>
      <c r="B19" s="76">
        <f>B18*B10</f>
        <v>153.21097344000006</v>
      </c>
      <c r="C19" s="76">
        <f>C18*B10</f>
        <v>169.11750720000003</v>
      </c>
      <c r="D19" s="76">
        <f>D18*B10</f>
        <v>193.50915820799997</v>
      </c>
    </row>
    <row r="20" spans="1:4">
      <c r="A20" t="s">
        <v>177</v>
      </c>
      <c r="B20" s="20">
        <f>B18-B19</f>
        <v>485.16808256000013</v>
      </c>
      <c r="C20" s="20">
        <f t="shared" ref="C20:D20" si="0">C18-C19</f>
        <v>535.53877280000006</v>
      </c>
      <c r="D20" s="20">
        <f t="shared" si="0"/>
        <v>612.77900099199996</v>
      </c>
    </row>
    <row r="21" spans="1:4">
      <c r="A21" t="s">
        <v>178</v>
      </c>
      <c r="B21" s="20">
        <f>'P&amp;L'!H16</f>
        <v>95</v>
      </c>
      <c r="C21" s="20">
        <f>'P&amp;L'!I16</f>
        <v>105</v>
      </c>
      <c r="D21" s="20">
        <f>'P&amp;L'!J16</f>
        <v>112</v>
      </c>
    </row>
    <row r="22" spans="1:4">
      <c r="A22" t="s">
        <v>179</v>
      </c>
      <c r="B22" s="20">
        <f>'Assumption '!B25</f>
        <v>300</v>
      </c>
      <c r="C22" s="20">
        <f>'Assumption '!C25</f>
        <v>200</v>
      </c>
      <c r="D22" s="20">
        <f>'Assumption '!D25</f>
        <v>150</v>
      </c>
    </row>
    <row r="23" spans="1:4">
      <c r="A23" t="s">
        <v>180</v>
      </c>
      <c r="B23" s="77">
        <f>'cash flow'!E18</f>
        <v>-39.497540602739832</v>
      </c>
      <c r="C23" s="77">
        <f>'cash flow'!F18</f>
        <v>-32.201168482191775</v>
      </c>
      <c r="D23" s="77">
        <f>'cash flow'!G18</f>
        <v>-29.897143145205547</v>
      </c>
    </row>
    <row r="24" spans="1:4">
      <c r="A24" s="17" t="s">
        <v>181</v>
      </c>
      <c r="B24" s="20">
        <f>B20+B21-B22-B23</f>
        <v>319.66562316273996</v>
      </c>
      <c r="C24" s="20">
        <f t="shared" ref="C24:D24" si="1">C20+C21-C22-C23</f>
        <v>472.73994128219181</v>
      </c>
      <c r="D24" s="20">
        <f t="shared" si="1"/>
        <v>604.67614413720548</v>
      </c>
    </row>
    <row r="25" spans="1:4">
      <c r="A25" t="s">
        <v>182</v>
      </c>
      <c r="B25">
        <v>1</v>
      </c>
      <c r="C25">
        <v>2</v>
      </c>
      <c r="D25">
        <v>3</v>
      </c>
    </row>
    <row r="26" spans="1:4">
      <c r="A26" t="s">
        <v>183</v>
      </c>
      <c r="B26" s="76">
        <f>1/((1+$B$14)^B25)</f>
        <v>0.89567993414961111</v>
      </c>
      <c r="C26" s="76">
        <f t="shared" ref="C26:D26" si="2">1/((1+$B$14)^C25)</f>
        <v>0.80224254443825183</v>
      </c>
      <c r="D26" s="76">
        <f t="shared" si="2"/>
        <v>0.71855254937447</v>
      </c>
    </row>
    <row r="27" spans="1:4">
      <c r="A27" s="17" t="s">
        <v>184</v>
      </c>
      <c r="B27" s="76">
        <f>B24*B26</f>
        <v>286.31808430429732</v>
      </c>
      <c r="C27" s="76">
        <f t="shared" ref="C27:D27" si="3">C24*C26</f>
        <v>379.25209335181535</v>
      </c>
      <c r="D27" s="76">
        <f t="shared" si="3"/>
        <v>434.49158491571347</v>
      </c>
    </row>
    <row r="29" spans="1:4" ht="18">
      <c r="A29" s="79" t="s">
        <v>185</v>
      </c>
    </row>
    <row r="30" spans="1:4">
      <c r="A30" t="s">
        <v>186</v>
      </c>
      <c r="B30" s="48">
        <v>0.05</v>
      </c>
    </row>
    <row r="31" spans="1:4">
      <c r="A31" t="s">
        <v>187</v>
      </c>
      <c r="B31" s="69">
        <f>D24*(1+B30)/(B14-B30)</f>
        <v>9551.7912350873612</v>
      </c>
    </row>
    <row r="32" spans="1:4">
      <c r="A32" t="s">
        <v>188</v>
      </c>
      <c r="B32" s="69">
        <f>B31/((1+B14)^3)</f>
        <v>6863.4639430647403</v>
      </c>
    </row>
    <row r="33" spans="1:2">
      <c r="A33" t="s">
        <v>189</v>
      </c>
      <c r="B33" s="69">
        <f>SUM(B27:D27)</f>
        <v>1100.0617625718262</v>
      </c>
    </row>
    <row r="34" spans="1:2">
      <c r="A34" s="17" t="s">
        <v>190</v>
      </c>
      <c r="B34" s="69">
        <f>B32+B33</f>
        <v>7963.5257056365663</v>
      </c>
    </row>
    <row r="35" spans="1:2">
      <c r="A35" t="s">
        <v>191</v>
      </c>
      <c r="B35" s="28">
        <f>'Balance sheet'!G43+'Balance sheet'!G38</f>
        <v>62.62</v>
      </c>
    </row>
    <row r="36" spans="1:2">
      <c r="A36" t="s">
        <v>192</v>
      </c>
      <c r="B36" s="28">
        <f>'Balance sheet'!G20+'Balance sheet'!G17</f>
        <v>10.07</v>
      </c>
    </row>
    <row r="37" spans="1:2">
      <c r="A37" s="17" t="s">
        <v>193</v>
      </c>
      <c r="B37" s="69">
        <f>B34-B35+B36</f>
        <v>7910.9757056365661</v>
      </c>
    </row>
    <row r="38" spans="1:2">
      <c r="A38" t="s">
        <v>194</v>
      </c>
      <c r="B38" s="28">
        <v>10.37</v>
      </c>
    </row>
    <row r="39" spans="1:2">
      <c r="A39" s="17" t="s">
        <v>195</v>
      </c>
      <c r="B39" s="69">
        <f>B37/B38</f>
        <v>762.87133130535835</v>
      </c>
    </row>
    <row r="40" spans="1:2">
      <c r="A40" t="s">
        <v>196</v>
      </c>
      <c r="B40" s="78">
        <v>1312</v>
      </c>
    </row>
    <row r="41" spans="1:2">
      <c r="A41" t="s">
        <v>197</v>
      </c>
      <c r="B41" s="69">
        <f>(B39-B40)/B40*100</f>
        <v>-41.854319260262315</v>
      </c>
    </row>
    <row r="42" spans="1:2">
      <c r="A42" s="17" t="s">
        <v>198</v>
      </c>
      <c r="B42" s="28" t="str">
        <f>IF(B41&gt;15,"BUY",IF(B41&lt;-15,"AVOID","HOLD"))</f>
        <v>AVOID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Raw Data</vt:lpstr>
      <vt:lpstr>Assumption </vt:lpstr>
      <vt:lpstr>P&amp;L</vt:lpstr>
      <vt:lpstr>Balance sheet</vt:lpstr>
      <vt:lpstr>cash flow</vt:lpstr>
      <vt:lpstr>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YAKUTA ALI</dc:creator>
  <cp:lastModifiedBy>YAKUTA ALI</cp:lastModifiedBy>
  <dcterms:created xsi:type="dcterms:W3CDTF">2026-05-10T08:00:55Z</dcterms:created>
  <dcterms:modified xsi:type="dcterms:W3CDTF">2026-07-14T15:13:32Z</dcterms:modified>
</cp:coreProperties>
</file>